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uyen.minh-hoang2\Desktop\"/>
    </mc:Choice>
  </mc:AlternateContent>
  <xr:revisionPtr revIDLastSave="0" documentId="8_{05CCFD8F-CB24-41DC-89F7-6DF7CB1F6E0E}" xr6:coauthVersionLast="47" xr6:coauthVersionMax="47" xr10:uidLastSave="{00000000-0000-0000-0000-000000000000}"/>
  <bookViews>
    <workbookView xWindow="-108" yWindow="-108" windowWidth="23256" windowHeight="12576" tabRatio="704" xr2:uid="{00000000-000D-0000-FFFF-FFFF00000000}"/>
  </bookViews>
  <sheets>
    <sheet name="INCENTIVE" sheetId="2" r:id="rId1"/>
    <sheet name="DL 1" sheetId="6" r:id="rId2"/>
    <sheet name="Sheet1" sheetId="13" state="hidden" r:id="rId3"/>
    <sheet name="CONVERT" sheetId="9" state="hidden" r:id="rId4"/>
    <sheet name="Data" sheetId="5" state="hidden" r:id="rId5"/>
  </sheets>
  <definedNames>
    <definedName name="_xlnm._FilterDatabase" localSheetId="4" hidden="1">Data!$A$1:$P$60</definedName>
    <definedName name="_xlnm._FilterDatabase" localSheetId="1" hidden="1">'DL 1'!$A$2:$J$2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8" i="6" l="1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45" i="5"/>
  <c r="J50" i="5" l="1"/>
  <c r="J49" i="5"/>
  <c r="J47" i="5"/>
  <c r="C3" i="2"/>
  <c r="E26" i="2"/>
  <c r="J40" i="5" s="1"/>
  <c r="F26" i="2"/>
  <c r="J41" i="5" s="1"/>
  <c r="D22" i="2"/>
  <c r="J48" i="5" s="1" a="1"/>
  <c r="J48" i="5" s="1"/>
  <c r="C22" i="2"/>
  <c r="F22" i="2" s="1"/>
  <c r="B106" i="9"/>
  <c r="B107" i="9"/>
  <c r="I108" i="6" s="1"/>
  <c r="B108" i="9"/>
  <c r="I109" i="6" s="1"/>
  <c r="B109" i="9"/>
  <c r="I110" i="6" s="1"/>
  <c r="B110" i="9"/>
  <c r="I111" i="6" s="1"/>
  <c r="B111" i="9"/>
  <c r="I112" i="6" s="1"/>
  <c r="B112" i="9"/>
  <c r="I113" i="6" s="1"/>
  <c r="B113" i="9"/>
  <c r="I114" i="6" s="1"/>
  <c r="B114" i="9"/>
  <c r="I115" i="6" s="1"/>
  <c r="B115" i="9"/>
  <c r="I116" i="6" s="1"/>
  <c r="B116" i="9"/>
  <c r="I117" i="6" s="1"/>
  <c r="B117" i="9"/>
  <c r="I118" i="6" s="1"/>
  <c r="B118" i="9"/>
  <c r="I119" i="6" s="1"/>
  <c r="B119" i="9"/>
  <c r="I120" i="6" s="1"/>
  <c r="B120" i="9"/>
  <c r="I121" i="6" s="1"/>
  <c r="B121" i="9"/>
  <c r="I122" i="6" s="1"/>
  <c r="B122" i="9"/>
  <c r="I123" i="6" s="1"/>
  <c r="B123" i="9"/>
  <c r="I124" i="6" s="1"/>
  <c r="B124" i="9"/>
  <c r="I125" i="6" s="1"/>
  <c r="B125" i="9"/>
  <c r="I126" i="6" s="1"/>
  <c r="B126" i="9"/>
  <c r="I127" i="6" s="1"/>
  <c r="B127" i="9"/>
  <c r="I128" i="6" s="1"/>
  <c r="B128" i="9"/>
  <c r="I129" i="6" s="1"/>
  <c r="B129" i="9"/>
  <c r="I130" i="6" s="1"/>
  <c r="B130" i="9"/>
  <c r="I131" i="6" s="1"/>
  <c r="B131" i="9"/>
  <c r="I132" i="6" s="1"/>
  <c r="B132" i="9"/>
  <c r="I133" i="6" s="1"/>
  <c r="B133" i="9"/>
  <c r="I134" i="6" s="1"/>
  <c r="B134" i="9"/>
  <c r="I135" i="6" s="1"/>
  <c r="B135" i="9"/>
  <c r="I136" i="6" s="1"/>
  <c r="B136" i="9"/>
  <c r="I137" i="6" s="1"/>
  <c r="B137" i="9"/>
  <c r="I138" i="6" s="1"/>
  <c r="B138" i="9"/>
  <c r="I139" i="6" s="1"/>
  <c r="B139" i="9"/>
  <c r="I140" i="6" s="1"/>
  <c r="B140" i="9"/>
  <c r="I141" i="6" s="1"/>
  <c r="B141" i="9"/>
  <c r="I142" i="6" s="1"/>
  <c r="B142" i="9"/>
  <c r="I143" i="6" s="1"/>
  <c r="B143" i="9"/>
  <c r="I144" i="6" s="1"/>
  <c r="B144" i="9"/>
  <c r="I145" i="6" s="1"/>
  <c r="B145" i="9"/>
  <c r="I146" i="6" s="1"/>
  <c r="B146" i="9"/>
  <c r="I147" i="6" s="1"/>
  <c r="B147" i="9"/>
  <c r="I148" i="6" s="1"/>
  <c r="B148" i="9"/>
  <c r="I149" i="6" s="1"/>
  <c r="B149" i="9"/>
  <c r="I150" i="6" s="1"/>
  <c r="B150" i="9"/>
  <c r="I151" i="6" s="1"/>
  <c r="B151" i="9"/>
  <c r="I152" i="6" s="1"/>
  <c r="B152" i="9"/>
  <c r="I153" i="6" s="1"/>
  <c r="B153" i="9"/>
  <c r="I154" i="6" s="1"/>
  <c r="B154" i="9"/>
  <c r="I155" i="6" s="1"/>
  <c r="B155" i="9"/>
  <c r="I156" i="6" s="1"/>
  <c r="B156" i="9"/>
  <c r="I157" i="6" s="1"/>
  <c r="B157" i="9"/>
  <c r="I158" i="6" s="1"/>
  <c r="B158" i="9"/>
  <c r="I159" i="6" s="1"/>
  <c r="B159" i="9"/>
  <c r="I160" i="6" s="1"/>
  <c r="B160" i="9"/>
  <c r="I161" i="6" s="1"/>
  <c r="B161" i="9"/>
  <c r="I162" i="6" s="1"/>
  <c r="B162" i="9"/>
  <c r="I163" i="6" s="1"/>
  <c r="B163" i="9"/>
  <c r="I164" i="6" s="1"/>
  <c r="B164" i="9"/>
  <c r="I165" i="6" s="1"/>
  <c r="B165" i="9"/>
  <c r="I166" i="6" s="1"/>
  <c r="B166" i="9"/>
  <c r="I167" i="6" s="1"/>
  <c r="B167" i="9"/>
  <c r="I168" i="6" s="1"/>
  <c r="B168" i="9"/>
  <c r="I169" i="6" s="1"/>
  <c r="B169" i="9"/>
  <c r="I170" i="6" s="1"/>
  <c r="B170" i="9"/>
  <c r="I171" i="6" s="1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Y3" i="9"/>
  <c r="Z3" i="9" s="1"/>
  <c r="Y4" i="9"/>
  <c r="Y5" i="9"/>
  <c r="AL5" i="9" s="1"/>
  <c r="K6" i="6" s="1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AL335" i="9" s="1"/>
  <c r="Y336" i="9"/>
  <c r="Y337" i="9"/>
  <c r="AL337" i="9" s="1"/>
  <c r="Y338" i="9"/>
  <c r="AL338" i="9" s="1"/>
  <c r="Y339" i="9"/>
  <c r="AL339" i="9" s="1"/>
  <c r="Y340" i="9"/>
  <c r="Y341" i="9"/>
  <c r="Y342" i="9"/>
  <c r="Y343" i="9"/>
  <c r="AL343" i="9" s="1"/>
  <c r="Y344" i="9"/>
  <c r="Y345" i="9"/>
  <c r="AL345" i="9" s="1"/>
  <c r="Y346" i="9"/>
  <c r="AL346" i="9" s="1"/>
  <c r="Y347" i="9"/>
  <c r="Y348" i="9"/>
  <c r="Y349" i="9"/>
  <c r="AL349" i="9" s="1"/>
  <c r="Y350" i="9"/>
  <c r="Y351" i="9"/>
  <c r="AL351" i="9" s="1"/>
  <c r="Y352" i="9"/>
  <c r="Y353" i="9"/>
  <c r="AL353" i="9" s="1"/>
  <c r="Y354" i="9"/>
  <c r="Y355" i="9"/>
  <c r="AL355" i="9" s="1"/>
  <c r="Y356" i="9"/>
  <c r="Y357" i="9"/>
  <c r="AL357" i="9" s="1"/>
  <c r="Y358" i="9"/>
  <c r="Y359" i="9"/>
  <c r="Y360" i="9"/>
  <c r="Y361" i="9"/>
  <c r="AL361" i="9" s="1"/>
  <c r="Y362" i="9"/>
  <c r="AL362" i="9" s="1"/>
  <c r="Y363" i="9"/>
  <c r="Y364" i="9"/>
  <c r="Y365" i="9"/>
  <c r="AL365" i="9" s="1"/>
  <c r="Y366" i="9"/>
  <c r="Y367" i="9"/>
  <c r="AL367" i="9" s="1"/>
  <c r="Y368" i="9"/>
  <c r="Y369" i="9"/>
  <c r="AL369" i="9" s="1"/>
  <c r="Y370" i="9"/>
  <c r="AL370" i="9" s="1"/>
  <c r="Y371" i="9"/>
  <c r="Y372" i="9"/>
  <c r="Y373" i="9"/>
  <c r="AL373" i="9" s="1"/>
  <c r="Y374" i="9"/>
  <c r="Y375" i="9"/>
  <c r="AL375" i="9" s="1"/>
  <c r="Y376" i="9"/>
  <c r="Y377" i="9"/>
  <c r="AL377" i="9" s="1"/>
  <c r="Y378" i="9"/>
  <c r="Y379" i="9"/>
  <c r="Y380" i="9"/>
  <c r="Y381" i="9"/>
  <c r="Y382" i="9"/>
  <c r="Y383" i="9"/>
  <c r="Y384" i="9"/>
  <c r="Y385" i="9"/>
  <c r="AL385" i="9" s="1"/>
  <c r="Y386" i="9"/>
  <c r="AL386" i="9" s="1"/>
  <c r="Y387" i="9"/>
  <c r="Y388" i="9"/>
  <c r="Y389" i="9"/>
  <c r="Y390" i="9"/>
  <c r="Y391" i="9"/>
  <c r="AL391" i="9" s="1"/>
  <c r="Y392" i="9"/>
  <c r="Y393" i="9"/>
  <c r="AL393" i="9" s="1"/>
  <c r="Y394" i="9"/>
  <c r="AL394" i="9" s="1"/>
  <c r="Y395" i="9"/>
  <c r="Y396" i="9"/>
  <c r="Y397" i="9"/>
  <c r="AL397" i="9" s="1"/>
  <c r="Y398" i="9"/>
  <c r="Y399" i="9"/>
  <c r="Y400" i="9"/>
  <c r="Y401" i="9"/>
  <c r="AL401" i="9" s="1"/>
  <c r="Y402" i="9"/>
  <c r="Y403" i="9"/>
  <c r="Y404" i="9"/>
  <c r="Y405" i="9"/>
  <c r="Y2" i="9"/>
  <c r="AA2" i="9" s="1"/>
  <c r="AL336" i="9"/>
  <c r="AL340" i="9"/>
  <c r="AL341" i="9"/>
  <c r="AL342" i="9"/>
  <c r="AL344" i="9"/>
  <c r="AL347" i="9"/>
  <c r="AL348" i="9"/>
  <c r="AL350" i="9"/>
  <c r="AL352" i="9"/>
  <c r="AL354" i="9"/>
  <c r="AL356" i="9"/>
  <c r="AL358" i="9"/>
  <c r="AL359" i="9"/>
  <c r="AL360" i="9"/>
  <c r="AL363" i="9"/>
  <c r="AL364" i="9"/>
  <c r="AL366" i="9"/>
  <c r="AL368" i="9"/>
  <c r="AL371" i="9"/>
  <c r="AL372" i="9"/>
  <c r="AL374" i="9"/>
  <c r="AL376" i="9"/>
  <c r="AL378" i="9"/>
  <c r="AL379" i="9"/>
  <c r="AL380" i="9"/>
  <c r="AL381" i="9"/>
  <c r="AL382" i="9"/>
  <c r="AL383" i="9"/>
  <c r="AL384" i="9"/>
  <c r="AL387" i="9"/>
  <c r="AL388" i="9"/>
  <c r="AL389" i="9"/>
  <c r="AL390" i="9"/>
  <c r="AL392" i="9"/>
  <c r="AL395" i="9"/>
  <c r="AL396" i="9"/>
  <c r="AL398" i="9"/>
  <c r="AL399" i="9"/>
  <c r="AL400" i="9"/>
  <c r="AL402" i="9"/>
  <c r="AL403" i="9"/>
  <c r="AL404" i="9"/>
  <c r="AL405" i="9"/>
  <c r="AL406" i="9"/>
  <c r="AL407" i="9"/>
  <c r="AL408" i="9"/>
  <c r="AL409" i="9"/>
  <c r="T5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AN336" i="9"/>
  <c r="AN337" i="9"/>
  <c r="AN338" i="9"/>
  <c r="AN339" i="9"/>
  <c r="AN340" i="9"/>
  <c r="AN341" i="9"/>
  <c r="AN342" i="9"/>
  <c r="AN343" i="9"/>
  <c r="AN344" i="9"/>
  <c r="AN345" i="9"/>
  <c r="AN346" i="9"/>
  <c r="AN347" i="9"/>
  <c r="AN348" i="9"/>
  <c r="AN349" i="9"/>
  <c r="AN350" i="9"/>
  <c r="AN351" i="9"/>
  <c r="AN352" i="9"/>
  <c r="AN353" i="9"/>
  <c r="AN354" i="9"/>
  <c r="AN355" i="9"/>
  <c r="AN356" i="9"/>
  <c r="AN357" i="9"/>
  <c r="AN358" i="9"/>
  <c r="AN359" i="9"/>
  <c r="AN360" i="9"/>
  <c r="AN361" i="9"/>
  <c r="AN362" i="9"/>
  <c r="AN363" i="9"/>
  <c r="AN364" i="9"/>
  <c r="AN365" i="9"/>
  <c r="AN366" i="9"/>
  <c r="AN367" i="9"/>
  <c r="AN368" i="9"/>
  <c r="AN369" i="9"/>
  <c r="AN370" i="9"/>
  <c r="AN371" i="9"/>
  <c r="AN372" i="9"/>
  <c r="AN373" i="9"/>
  <c r="AN374" i="9"/>
  <c r="AN375" i="9"/>
  <c r="AN376" i="9"/>
  <c r="AN377" i="9"/>
  <c r="AN378" i="9"/>
  <c r="AN379" i="9"/>
  <c r="AN380" i="9"/>
  <c r="AN381" i="9"/>
  <c r="AN382" i="9"/>
  <c r="AN383" i="9"/>
  <c r="AN384" i="9"/>
  <c r="AN385" i="9"/>
  <c r="AN386" i="9"/>
  <c r="AN387" i="9"/>
  <c r="AN388" i="9"/>
  <c r="AN389" i="9"/>
  <c r="AN390" i="9"/>
  <c r="AN391" i="9"/>
  <c r="AN392" i="9"/>
  <c r="AN393" i="9"/>
  <c r="AN394" i="9"/>
  <c r="AN395" i="9"/>
  <c r="AN396" i="9"/>
  <c r="AN397" i="9"/>
  <c r="AN398" i="9"/>
  <c r="AN399" i="9"/>
  <c r="AN400" i="9"/>
  <c r="AN401" i="9"/>
  <c r="AN402" i="9"/>
  <c r="AN403" i="9"/>
  <c r="AN404" i="9"/>
  <c r="AN405" i="9"/>
  <c r="AN406" i="9"/>
  <c r="AN407" i="9"/>
  <c r="AN408" i="9"/>
  <c r="AN409" i="9"/>
  <c r="Q335" i="9"/>
  <c r="AN335" i="9" s="1"/>
  <c r="AK328" i="9"/>
  <c r="AK329" i="9"/>
  <c r="AK330" i="9"/>
  <c r="AK331" i="9"/>
  <c r="AK332" i="9"/>
  <c r="AK333" i="9"/>
  <c r="AK334" i="9"/>
  <c r="AK335" i="9"/>
  <c r="AK336" i="9"/>
  <c r="AK337" i="9"/>
  <c r="AK338" i="9"/>
  <c r="AK339" i="9"/>
  <c r="AK340" i="9"/>
  <c r="AK341" i="9"/>
  <c r="AK342" i="9"/>
  <c r="AK343" i="9"/>
  <c r="AK344" i="9"/>
  <c r="AK345" i="9"/>
  <c r="AK346" i="9"/>
  <c r="AK347" i="9"/>
  <c r="AK348" i="9"/>
  <c r="AK349" i="9"/>
  <c r="AK350" i="9"/>
  <c r="AK351" i="9"/>
  <c r="AK352" i="9"/>
  <c r="AK353" i="9"/>
  <c r="AK354" i="9"/>
  <c r="AK355" i="9"/>
  <c r="AK356" i="9"/>
  <c r="AK357" i="9"/>
  <c r="AK358" i="9"/>
  <c r="AK359" i="9"/>
  <c r="AK360" i="9"/>
  <c r="AK361" i="9"/>
  <c r="AK362" i="9"/>
  <c r="AK363" i="9"/>
  <c r="AK364" i="9"/>
  <c r="AK365" i="9"/>
  <c r="AK366" i="9"/>
  <c r="AK367" i="9"/>
  <c r="AK368" i="9"/>
  <c r="AK369" i="9"/>
  <c r="AK370" i="9"/>
  <c r="AK371" i="9"/>
  <c r="AK372" i="9"/>
  <c r="AK373" i="9"/>
  <c r="AK374" i="9"/>
  <c r="AK375" i="9"/>
  <c r="AK376" i="9"/>
  <c r="AK377" i="9"/>
  <c r="AK378" i="9"/>
  <c r="AK379" i="9"/>
  <c r="AK380" i="9"/>
  <c r="AK381" i="9"/>
  <c r="AK382" i="9"/>
  <c r="AK383" i="9"/>
  <c r="AK384" i="9"/>
  <c r="AK385" i="9"/>
  <c r="AK386" i="9"/>
  <c r="AK387" i="9"/>
  <c r="AK388" i="9"/>
  <c r="AK389" i="9"/>
  <c r="AK390" i="9"/>
  <c r="AK391" i="9"/>
  <c r="AK392" i="9"/>
  <c r="AK393" i="9"/>
  <c r="AK394" i="9"/>
  <c r="AK395" i="9"/>
  <c r="AK396" i="9"/>
  <c r="AK397" i="9"/>
  <c r="AK398" i="9"/>
  <c r="AK399" i="9"/>
  <c r="AK400" i="9"/>
  <c r="AK401" i="9"/>
  <c r="AK402" i="9"/>
  <c r="AK403" i="9"/>
  <c r="AK404" i="9"/>
  <c r="AK405" i="9"/>
  <c r="AK406" i="9"/>
  <c r="AK407" i="9"/>
  <c r="AK408" i="9"/>
  <c r="AK409" i="9"/>
  <c r="P328" i="9"/>
  <c r="P329" i="9"/>
  <c r="P330" i="9"/>
  <c r="P331" i="9"/>
  <c r="P332" i="9"/>
  <c r="P333" i="9"/>
  <c r="P334" i="9"/>
  <c r="S2" i="9"/>
  <c r="I2" i="9"/>
  <c r="I3" i="9"/>
  <c r="Z4" i="9"/>
  <c r="H2" i="9"/>
  <c r="J46" i="5" l="1"/>
  <c r="K53" i="5" s="1"/>
  <c r="C18" i="2" s="1"/>
  <c r="Z2" i="9" a="1"/>
  <c r="Z2" i="9" s="1"/>
  <c r="AL2" i="9"/>
  <c r="K3" i="6" s="1"/>
  <c r="T2" i="9"/>
  <c r="Z5" i="9"/>
  <c r="R2" i="9" l="1"/>
  <c r="AD415" i="9"/>
  <c r="AB9" i="9"/>
  <c r="AC18" i="9" l="1"/>
  <c r="AB2" i="9"/>
  <c r="AB8" i="9"/>
  <c r="AC17" i="9"/>
  <c r="AB7" i="9"/>
  <c r="AC16" i="9"/>
  <c r="AB14" i="9"/>
  <c r="AB6" i="9"/>
  <c r="AC19" i="9"/>
  <c r="AB5" i="9"/>
  <c r="AC14" i="9"/>
  <c r="AB12" i="9"/>
  <c r="AB4" i="9"/>
  <c r="AC15" i="9"/>
  <c r="AB13" i="9"/>
  <c r="AC12" i="9"/>
  <c r="AC13" i="9"/>
  <c r="AB11" i="9"/>
  <c r="AB3" i="9"/>
  <c r="AC11" i="9"/>
  <c r="AB10" i="9"/>
  <c r="AG3" i="9" l="1"/>
  <c r="AG4" i="9"/>
  <c r="AG5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75" i="9"/>
  <c r="AG76" i="9"/>
  <c r="AG77" i="9"/>
  <c r="AG78" i="9"/>
  <c r="AG79" i="9"/>
  <c r="AG80" i="9"/>
  <c r="AG81" i="9"/>
  <c r="AG82" i="9"/>
  <c r="AG83" i="9"/>
  <c r="AG84" i="9"/>
  <c r="AG85" i="9"/>
  <c r="AG86" i="9"/>
  <c r="AG87" i="9"/>
  <c r="AG88" i="9"/>
  <c r="AG89" i="9"/>
  <c r="AG90" i="9"/>
  <c r="AG91" i="9"/>
  <c r="AG92" i="9"/>
  <c r="AG93" i="9"/>
  <c r="AG94" i="9"/>
  <c r="AG95" i="9"/>
  <c r="AG96" i="9"/>
  <c r="AG97" i="9"/>
  <c r="AG98" i="9"/>
  <c r="AG99" i="9"/>
  <c r="AG100" i="9"/>
  <c r="AG101" i="9"/>
  <c r="AG102" i="9"/>
  <c r="AG103" i="9"/>
  <c r="AG104" i="9"/>
  <c r="AG105" i="9"/>
  <c r="AG106" i="9"/>
  <c r="AG107" i="9"/>
  <c r="AG108" i="9"/>
  <c r="AG109" i="9"/>
  <c r="AG110" i="9"/>
  <c r="AG111" i="9"/>
  <c r="AG112" i="9"/>
  <c r="AG113" i="9"/>
  <c r="AG114" i="9"/>
  <c r="AG115" i="9"/>
  <c r="AG116" i="9"/>
  <c r="AG117" i="9"/>
  <c r="AG118" i="9"/>
  <c r="AG119" i="9"/>
  <c r="AG120" i="9"/>
  <c r="AG121" i="9"/>
  <c r="AG122" i="9"/>
  <c r="AG123" i="9"/>
  <c r="AG124" i="9"/>
  <c r="AG125" i="9"/>
  <c r="AG126" i="9"/>
  <c r="AG127" i="9"/>
  <c r="AG128" i="9"/>
  <c r="AG129" i="9"/>
  <c r="AG130" i="9"/>
  <c r="AG131" i="9"/>
  <c r="AG132" i="9"/>
  <c r="AG133" i="9"/>
  <c r="AG134" i="9"/>
  <c r="AG135" i="9"/>
  <c r="AG136" i="9"/>
  <c r="AG137" i="9"/>
  <c r="AG138" i="9"/>
  <c r="AG139" i="9"/>
  <c r="AG140" i="9"/>
  <c r="AG141" i="9"/>
  <c r="AG142" i="9"/>
  <c r="AG143" i="9"/>
  <c r="AG144" i="9"/>
  <c r="AG145" i="9"/>
  <c r="AG146" i="9"/>
  <c r="AG147" i="9"/>
  <c r="AG148" i="9"/>
  <c r="AG149" i="9"/>
  <c r="AG150" i="9"/>
  <c r="AG151" i="9"/>
  <c r="AG152" i="9"/>
  <c r="AG153" i="9"/>
  <c r="AG154" i="9"/>
  <c r="AG155" i="9"/>
  <c r="AG156" i="9"/>
  <c r="AG157" i="9"/>
  <c r="AG158" i="9"/>
  <c r="AG159" i="9"/>
  <c r="AG160" i="9"/>
  <c r="AG161" i="9"/>
  <c r="AG162" i="9"/>
  <c r="AG163" i="9"/>
  <c r="AG164" i="9"/>
  <c r="AG165" i="9"/>
  <c r="AG166" i="9"/>
  <c r="AG167" i="9"/>
  <c r="AG168" i="9"/>
  <c r="AG169" i="9"/>
  <c r="AG170" i="9"/>
  <c r="AG171" i="9"/>
  <c r="AG172" i="9"/>
  <c r="AG173" i="9"/>
  <c r="AG174" i="9"/>
  <c r="AG175" i="9"/>
  <c r="AG176" i="9"/>
  <c r="AG177" i="9"/>
  <c r="AG178" i="9"/>
  <c r="AG179" i="9"/>
  <c r="AG180" i="9"/>
  <c r="AG181" i="9"/>
  <c r="AG182" i="9"/>
  <c r="AG183" i="9"/>
  <c r="AG184" i="9"/>
  <c r="AG185" i="9"/>
  <c r="AG186" i="9"/>
  <c r="AG187" i="9"/>
  <c r="AG188" i="9"/>
  <c r="AG189" i="9"/>
  <c r="AG190" i="9"/>
  <c r="AG191" i="9"/>
  <c r="AG192" i="9"/>
  <c r="AG193" i="9"/>
  <c r="AG194" i="9"/>
  <c r="AG195" i="9"/>
  <c r="AG196" i="9"/>
  <c r="AG197" i="9"/>
  <c r="AG198" i="9"/>
  <c r="AG199" i="9"/>
  <c r="AG200" i="9"/>
  <c r="AG201" i="9"/>
  <c r="AG202" i="9"/>
  <c r="AG203" i="9"/>
  <c r="AG204" i="9"/>
  <c r="AG205" i="9"/>
  <c r="AG206" i="9"/>
  <c r="AG207" i="9"/>
  <c r="AG208" i="9"/>
  <c r="AG209" i="9"/>
  <c r="AG210" i="9"/>
  <c r="AG211" i="9"/>
  <c r="AG212" i="9"/>
  <c r="AG213" i="9"/>
  <c r="AG214" i="9"/>
  <c r="AG215" i="9"/>
  <c r="AG216" i="9"/>
  <c r="AG217" i="9"/>
  <c r="AG218" i="9"/>
  <c r="AG219" i="9"/>
  <c r="AG220" i="9"/>
  <c r="AG221" i="9"/>
  <c r="AG222" i="9"/>
  <c r="AG223" i="9"/>
  <c r="AG224" i="9"/>
  <c r="AG225" i="9"/>
  <c r="AG226" i="9"/>
  <c r="AG227" i="9"/>
  <c r="AG228" i="9"/>
  <c r="AG229" i="9"/>
  <c r="AG230" i="9"/>
  <c r="AG231" i="9"/>
  <c r="AG232" i="9"/>
  <c r="AG233" i="9"/>
  <c r="AG234" i="9"/>
  <c r="AG235" i="9"/>
  <c r="AG236" i="9"/>
  <c r="AG237" i="9"/>
  <c r="AG238" i="9"/>
  <c r="AG239" i="9"/>
  <c r="AG240" i="9"/>
  <c r="AG241" i="9"/>
  <c r="AG242" i="9"/>
  <c r="AG243" i="9"/>
  <c r="AG244" i="9"/>
  <c r="AG245" i="9"/>
  <c r="AG246" i="9"/>
  <c r="AG247" i="9"/>
  <c r="AG248" i="9"/>
  <c r="AG249" i="9"/>
  <c r="AG250" i="9"/>
  <c r="AG251" i="9"/>
  <c r="AG252" i="9"/>
  <c r="AG253" i="9"/>
  <c r="AG254" i="9"/>
  <c r="AG255" i="9"/>
  <c r="AG256" i="9"/>
  <c r="AG257" i="9"/>
  <c r="AG258" i="9"/>
  <c r="AG259" i="9"/>
  <c r="AG260" i="9"/>
  <c r="AG261" i="9"/>
  <c r="AG262" i="9"/>
  <c r="AG263" i="9"/>
  <c r="AG264" i="9"/>
  <c r="AG265" i="9"/>
  <c r="AG266" i="9"/>
  <c r="AG267" i="9"/>
  <c r="AG268" i="9"/>
  <c r="AG269" i="9"/>
  <c r="AG270" i="9"/>
  <c r="AG271" i="9"/>
  <c r="AG272" i="9"/>
  <c r="AG273" i="9"/>
  <c r="AG274" i="9"/>
  <c r="AG275" i="9"/>
  <c r="AG276" i="9"/>
  <c r="AG277" i="9"/>
  <c r="AG278" i="9"/>
  <c r="AG279" i="9"/>
  <c r="AG280" i="9"/>
  <c r="AG281" i="9"/>
  <c r="AG282" i="9"/>
  <c r="AG283" i="9"/>
  <c r="AG284" i="9"/>
  <c r="AG285" i="9"/>
  <c r="AG286" i="9"/>
  <c r="AG287" i="9"/>
  <c r="AG288" i="9"/>
  <c r="AG289" i="9"/>
  <c r="AG290" i="9"/>
  <c r="AG291" i="9"/>
  <c r="AG292" i="9"/>
  <c r="AG293" i="9"/>
  <c r="AG294" i="9"/>
  <c r="AG295" i="9"/>
  <c r="AG296" i="9"/>
  <c r="AG297" i="9"/>
  <c r="AG298" i="9"/>
  <c r="AG299" i="9"/>
  <c r="AG300" i="9"/>
  <c r="AG301" i="9"/>
  <c r="AG302" i="9"/>
  <c r="AG303" i="9"/>
  <c r="AG304" i="9"/>
  <c r="AG305" i="9"/>
  <c r="AG306" i="9"/>
  <c r="AG307" i="9"/>
  <c r="AG308" i="9"/>
  <c r="AG309" i="9"/>
  <c r="AG310" i="9"/>
  <c r="AG311" i="9"/>
  <c r="AG312" i="9"/>
  <c r="AG313" i="9"/>
  <c r="AG314" i="9"/>
  <c r="AG315" i="9"/>
  <c r="AG316" i="9"/>
  <c r="AG317" i="9"/>
  <c r="AG318" i="9"/>
  <c r="AG319" i="9"/>
  <c r="AG320" i="9"/>
  <c r="AG321" i="9"/>
  <c r="AG322" i="9"/>
  <c r="AG323" i="9"/>
  <c r="AG324" i="9"/>
  <c r="AG325" i="9"/>
  <c r="AG326" i="9"/>
  <c r="AG327" i="9"/>
  <c r="AG328" i="9"/>
  <c r="AG329" i="9"/>
  <c r="AG330" i="9"/>
  <c r="AG331" i="9"/>
  <c r="AG332" i="9"/>
  <c r="AG333" i="9"/>
  <c r="AG334" i="9"/>
  <c r="AG335" i="9"/>
  <c r="AG336" i="9"/>
  <c r="AG337" i="9"/>
  <c r="AG338" i="9"/>
  <c r="AG339" i="9"/>
  <c r="AG340" i="9"/>
  <c r="AG341" i="9"/>
  <c r="AG342" i="9"/>
  <c r="AG343" i="9"/>
  <c r="AG344" i="9"/>
  <c r="AG345" i="9"/>
  <c r="AG346" i="9"/>
  <c r="AG347" i="9"/>
  <c r="AG348" i="9"/>
  <c r="AG349" i="9"/>
  <c r="AG350" i="9"/>
  <c r="AG351" i="9"/>
  <c r="AG352" i="9"/>
  <c r="AG353" i="9"/>
  <c r="AG354" i="9"/>
  <c r="AG355" i="9"/>
  <c r="AG356" i="9"/>
  <c r="AG357" i="9"/>
  <c r="AG358" i="9"/>
  <c r="AG359" i="9"/>
  <c r="AG360" i="9"/>
  <c r="AG361" i="9"/>
  <c r="AG362" i="9"/>
  <c r="AG363" i="9"/>
  <c r="AG364" i="9"/>
  <c r="AG365" i="9"/>
  <c r="AG366" i="9"/>
  <c r="AG367" i="9"/>
  <c r="AG368" i="9"/>
  <c r="AG369" i="9"/>
  <c r="AG370" i="9"/>
  <c r="AG371" i="9"/>
  <c r="AG372" i="9"/>
  <c r="AG373" i="9"/>
  <c r="AG374" i="9"/>
  <c r="AG375" i="9"/>
  <c r="AG376" i="9"/>
  <c r="AG377" i="9"/>
  <c r="AG378" i="9"/>
  <c r="AG379" i="9"/>
  <c r="AG380" i="9"/>
  <c r="AG381" i="9"/>
  <c r="AG382" i="9"/>
  <c r="AG383" i="9"/>
  <c r="AG384" i="9"/>
  <c r="AG385" i="9"/>
  <c r="AG386" i="9"/>
  <c r="AG387" i="9"/>
  <c r="AG388" i="9"/>
  <c r="AG389" i="9"/>
  <c r="AG390" i="9"/>
  <c r="AG391" i="9"/>
  <c r="AG392" i="9"/>
  <c r="AG393" i="9"/>
  <c r="AG394" i="9"/>
  <c r="AG395" i="9"/>
  <c r="AG396" i="9"/>
  <c r="AG397" i="9"/>
  <c r="AG398" i="9"/>
  <c r="AG399" i="9"/>
  <c r="AG400" i="9"/>
  <c r="AG401" i="9"/>
  <c r="AG402" i="9"/>
  <c r="AG403" i="9"/>
  <c r="AG404" i="9"/>
  <c r="AG405" i="9"/>
  <c r="AG406" i="9"/>
  <c r="AG407" i="9"/>
  <c r="AG408" i="9"/>
  <c r="AG409" i="9"/>
  <c r="AG410" i="9"/>
  <c r="AG411" i="9"/>
  <c r="AG412" i="9"/>
  <c r="AG413" i="9"/>
  <c r="AG414" i="9"/>
  <c r="AG415" i="9"/>
  <c r="AG2" i="9"/>
  <c r="AE2" i="9"/>
  <c r="D8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2" i="9"/>
  <c r="AJ2" i="9" l="1"/>
  <c r="X53" i="9" l="1"/>
  <c r="AC53" i="9"/>
  <c r="AD53" i="9" s="1"/>
  <c r="C4" i="2"/>
  <c r="V335" i="9" l="1"/>
  <c r="R3" i="9" l="1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W336" i="9" s="1"/>
  <c r="R337" i="9"/>
  <c r="W337" i="9" s="1"/>
  <c r="R338" i="9"/>
  <c r="W338" i="9" s="1"/>
  <c r="R339" i="9"/>
  <c r="R340" i="9"/>
  <c r="W340" i="9" s="1"/>
  <c r="R341" i="9"/>
  <c r="R342" i="9"/>
  <c r="R343" i="9"/>
  <c r="W343" i="9" s="1"/>
  <c r="R344" i="9"/>
  <c r="W344" i="9" s="1"/>
  <c r="R345" i="9"/>
  <c r="W345" i="9" s="1"/>
  <c r="R346" i="9"/>
  <c r="W346" i="9" s="1"/>
  <c r="R347" i="9"/>
  <c r="W347" i="9" s="1"/>
  <c r="R348" i="9"/>
  <c r="W348" i="9" s="1"/>
  <c r="R349" i="9"/>
  <c r="W349" i="9" s="1"/>
  <c r="R350" i="9"/>
  <c r="W350" i="9" s="1"/>
  <c r="R351" i="9"/>
  <c r="W351" i="9" s="1"/>
  <c r="R352" i="9"/>
  <c r="W352" i="9" s="1"/>
  <c r="R353" i="9"/>
  <c r="W353" i="9" s="1"/>
  <c r="R354" i="9"/>
  <c r="W354" i="9" s="1"/>
  <c r="R355" i="9"/>
  <c r="W355" i="9" s="1"/>
  <c r="R356" i="9"/>
  <c r="W356" i="9" s="1"/>
  <c r="R357" i="9"/>
  <c r="W357" i="9" s="1"/>
  <c r="R358" i="9"/>
  <c r="W358" i="9" s="1"/>
  <c r="R359" i="9"/>
  <c r="W359" i="9" s="1"/>
  <c r="R360" i="9"/>
  <c r="W360" i="9" s="1"/>
  <c r="R361" i="9"/>
  <c r="W361" i="9" s="1"/>
  <c r="R362" i="9"/>
  <c r="W362" i="9" s="1"/>
  <c r="R363" i="9"/>
  <c r="W363" i="9" s="1"/>
  <c r="R364" i="9"/>
  <c r="W364" i="9" s="1"/>
  <c r="R365" i="9"/>
  <c r="W365" i="9" s="1"/>
  <c r="R366" i="9"/>
  <c r="W366" i="9" s="1"/>
  <c r="R367" i="9"/>
  <c r="W367" i="9" s="1"/>
  <c r="R368" i="9"/>
  <c r="W368" i="9" s="1"/>
  <c r="R369" i="9"/>
  <c r="W369" i="9" s="1"/>
  <c r="R370" i="9"/>
  <c r="W370" i="9" s="1"/>
  <c r="R371" i="9"/>
  <c r="W371" i="9" s="1"/>
  <c r="R372" i="9"/>
  <c r="W372" i="9" s="1"/>
  <c r="R373" i="9"/>
  <c r="W373" i="9" s="1"/>
  <c r="R374" i="9"/>
  <c r="W374" i="9" s="1"/>
  <c r="R375" i="9"/>
  <c r="W375" i="9" s="1"/>
  <c r="R376" i="9"/>
  <c r="W376" i="9" s="1"/>
  <c r="R377" i="9"/>
  <c r="W377" i="9" s="1"/>
  <c r="R378" i="9"/>
  <c r="W378" i="9" s="1"/>
  <c r="R379" i="9"/>
  <c r="W379" i="9" s="1"/>
  <c r="R380" i="9"/>
  <c r="W380" i="9" s="1"/>
  <c r="R381" i="9"/>
  <c r="W381" i="9" s="1"/>
  <c r="R382" i="9"/>
  <c r="W382" i="9" s="1"/>
  <c r="R383" i="9"/>
  <c r="W383" i="9" s="1"/>
  <c r="R384" i="9"/>
  <c r="W384" i="9" s="1"/>
  <c r="R385" i="9"/>
  <c r="W385" i="9" s="1"/>
  <c r="R386" i="9"/>
  <c r="W386" i="9" s="1"/>
  <c r="R387" i="9"/>
  <c r="W387" i="9" s="1"/>
  <c r="R388" i="9"/>
  <c r="W388" i="9" s="1"/>
  <c r="R389" i="9"/>
  <c r="W389" i="9" s="1"/>
  <c r="R390" i="9"/>
  <c r="W390" i="9" s="1"/>
  <c r="R391" i="9"/>
  <c r="W391" i="9" s="1"/>
  <c r="R392" i="9"/>
  <c r="W392" i="9" s="1"/>
  <c r="R393" i="9"/>
  <c r="W393" i="9" s="1"/>
  <c r="R394" i="9"/>
  <c r="W394" i="9" s="1"/>
  <c r="R395" i="9"/>
  <c r="W395" i="9" s="1"/>
  <c r="R396" i="9"/>
  <c r="W396" i="9" s="1"/>
  <c r="R397" i="9"/>
  <c r="W397" i="9" s="1"/>
  <c r="R398" i="9"/>
  <c r="W398" i="9" s="1"/>
  <c r="R399" i="9"/>
  <c r="W399" i="9" s="1"/>
  <c r="R400" i="9"/>
  <c r="W400" i="9" s="1"/>
  <c r="R401" i="9"/>
  <c r="W401" i="9" s="1"/>
  <c r="R402" i="9"/>
  <c r="W402" i="9" s="1"/>
  <c r="R403" i="9"/>
  <c r="W403" i="9" s="1"/>
  <c r="R404" i="9"/>
  <c r="W404" i="9" s="1"/>
  <c r="R405" i="9"/>
  <c r="W405" i="9" s="1"/>
  <c r="R406" i="9"/>
  <c r="W406" i="9" s="1"/>
  <c r="R407" i="9"/>
  <c r="W407" i="9" s="1"/>
  <c r="R408" i="9"/>
  <c r="W408" i="9" s="1"/>
  <c r="R409" i="9"/>
  <c r="W409" i="9" s="1"/>
  <c r="R410" i="9"/>
  <c r="W410" i="9" s="1"/>
  <c r="R411" i="9"/>
  <c r="W411" i="9" s="1"/>
  <c r="R412" i="9"/>
  <c r="W412" i="9" s="1"/>
  <c r="R413" i="9"/>
  <c r="W413" i="9" s="1"/>
  <c r="R414" i="9"/>
  <c r="W414" i="9" s="1"/>
  <c r="W335" i="9"/>
  <c r="W339" i="9"/>
  <c r="W341" i="9"/>
  <c r="W342" i="9"/>
  <c r="W415" i="9"/>
  <c r="AF333" i="9" l="1"/>
  <c r="AF334" i="9"/>
  <c r="AF335" i="9"/>
  <c r="AF336" i="9"/>
  <c r="AF337" i="9"/>
  <c r="AF338" i="9"/>
  <c r="AF339" i="9"/>
  <c r="AF340" i="9"/>
  <c r="AF341" i="9"/>
  <c r="AF342" i="9"/>
  <c r="AF343" i="9"/>
  <c r="AF344" i="9"/>
  <c r="AF345" i="9"/>
  <c r="AF346" i="9"/>
  <c r="AF347" i="9"/>
  <c r="AF348" i="9"/>
  <c r="AF349" i="9"/>
  <c r="AF350" i="9"/>
  <c r="AF351" i="9"/>
  <c r="AF352" i="9"/>
  <c r="AF353" i="9"/>
  <c r="AF354" i="9"/>
  <c r="AF355" i="9"/>
  <c r="AF356" i="9"/>
  <c r="AF357" i="9"/>
  <c r="AF358" i="9"/>
  <c r="AF359" i="9"/>
  <c r="AF360" i="9"/>
  <c r="AF361" i="9"/>
  <c r="AF362" i="9"/>
  <c r="AF363" i="9"/>
  <c r="AF364" i="9"/>
  <c r="AF365" i="9"/>
  <c r="AF366" i="9"/>
  <c r="AF367" i="9"/>
  <c r="AF368" i="9"/>
  <c r="AF369" i="9"/>
  <c r="AF370" i="9"/>
  <c r="AF371" i="9"/>
  <c r="AF372" i="9"/>
  <c r="AF373" i="9"/>
  <c r="AF374" i="9"/>
  <c r="AF375" i="9"/>
  <c r="AF376" i="9"/>
  <c r="AF377" i="9"/>
  <c r="AF378" i="9"/>
  <c r="AF379" i="9"/>
  <c r="AF380" i="9"/>
  <c r="AF381" i="9"/>
  <c r="AF382" i="9"/>
  <c r="AF383" i="9"/>
  <c r="AF384" i="9"/>
  <c r="AF385" i="9"/>
  <c r="AF386" i="9"/>
  <c r="AF387" i="9"/>
  <c r="AF388" i="9"/>
  <c r="AF389" i="9"/>
  <c r="AF390" i="9"/>
  <c r="AF391" i="9"/>
  <c r="AF392" i="9"/>
  <c r="AF393" i="9"/>
  <c r="AF394" i="9"/>
  <c r="AF395" i="9"/>
  <c r="AF396" i="9"/>
  <c r="AF397" i="9"/>
  <c r="AF398" i="9"/>
  <c r="AF399" i="9"/>
  <c r="AF400" i="9"/>
  <c r="AF401" i="9"/>
  <c r="AF402" i="9"/>
  <c r="AF403" i="9"/>
  <c r="AF404" i="9"/>
  <c r="AF405" i="9"/>
  <c r="AF406" i="9"/>
  <c r="AF407" i="9"/>
  <c r="AF408" i="9"/>
  <c r="AF409" i="9"/>
  <c r="AF410" i="9"/>
  <c r="AF411" i="9"/>
  <c r="AF412" i="9"/>
  <c r="AF413" i="9"/>
  <c r="AF414" i="9"/>
  <c r="AF415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E105" i="9"/>
  <c r="AE106" i="9"/>
  <c r="AE107" i="9"/>
  <c r="AE108" i="9"/>
  <c r="AE109" i="9"/>
  <c r="AE110" i="9"/>
  <c r="AE111" i="9"/>
  <c r="AE112" i="9"/>
  <c r="AE113" i="9"/>
  <c r="AE114" i="9"/>
  <c r="AE115" i="9"/>
  <c r="AE116" i="9"/>
  <c r="AE117" i="9"/>
  <c r="AE118" i="9"/>
  <c r="AE119" i="9"/>
  <c r="AE120" i="9"/>
  <c r="AE121" i="9"/>
  <c r="AE122" i="9"/>
  <c r="AE123" i="9"/>
  <c r="AE124" i="9"/>
  <c r="AE125" i="9"/>
  <c r="AE126" i="9"/>
  <c r="AE127" i="9"/>
  <c r="AE128" i="9"/>
  <c r="AE129" i="9"/>
  <c r="AE130" i="9"/>
  <c r="AE131" i="9"/>
  <c r="AE132" i="9"/>
  <c r="AE133" i="9"/>
  <c r="AE134" i="9"/>
  <c r="AE135" i="9"/>
  <c r="AE136" i="9"/>
  <c r="AE137" i="9"/>
  <c r="AE138" i="9"/>
  <c r="AE139" i="9"/>
  <c r="AE140" i="9"/>
  <c r="AE141" i="9"/>
  <c r="AE142" i="9"/>
  <c r="AE143" i="9"/>
  <c r="AE144" i="9"/>
  <c r="AE145" i="9"/>
  <c r="AE146" i="9"/>
  <c r="AE147" i="9"/>
  <c r="AE148" i="9"/>
  <c r="AE149" i="9"/>
  <c r="AE150" i="9"/>
  <c r="AE151" i="9"/>
  <c r="AE152" i="9"/>
  <c r="AE153" i="9"/>
  <c r="AE154" i="9"/>
  <c r="AE155" i="9"/>
  <c r="AE156" i="9"/>
  <c r="AE157" i="9"/>
  <c r="AE158" i="9"/>
  <c r="AE159" i="9"/>
  <c r="AE160" i="9"/>
  <c r="AE161" i="9"/>
  <c r="AE162" i="9"/>
  <c r="AE163" i="9"/>
  <c r="AE164" i="9"/>
  <c r="AE165" i="9"/>
  <c r="AE166" i="9"/>
  <c r="AE167" i="9"/>
  <c r="AE168" i="9"/>
  <c r="AE169" i="9"/>
  <c r="AE170" i="9"/>
  <c r="AE171" i="9"/>
  <c r="AE172" i="9"/>
  <c r="AE173" i="9"/>
  <c r="AE174" i="9"/>
  <c r="AE175" i="9"/>
  <c r="AE176" i="9"/>
  <c r="AE177" i="9"/>
  <c r="AE178" i="9"/>
  <c r="AE179" i="9"/>
  <c r="AE180" i="9"/>
  <c r="AE181" i="9"/>
  <c r="AE182" i="9"/>
  <c r="AE183" i="9"/>
  <c r="AE184" i="9"/>
  <c r="AE185" i="9"/>
  <c r="AE186" i="9"/>
  <c r="AE187" i="9"/>
  <c r="AE188" i="9"/>
  <c r="AE189" i="9"/>
  <c r="AE190" i="9"/>
  <c r="AE191" i="9"/>
  <c r="AE192" i="9"/>
  <c r="AE193" i="9"/>
  <c r="AE194" i="9"/>
  <c r="AE195" i="9"/>
  <c r="AE196" i="9"/>
  <c r="AE197" i="9"/>
  <c r="AE198" i="9"/>
  <c r="AE199" i="9"/>
  <c r="AE200" i="9"/>
  <c r="AE201" i="9"/>
  <c r="AE202" i="9"/>
  <c r="AE203" i="9"/>
  <c r="AE204" i="9"/>
  <c r="AE205" i="9"/>
  <c r="AE206" i="9"/>
  <c r="AE207" i="9"/>
  <c r="AE208" i="9"/>
  <c r="AE209" i="9"/>
  <c r="AE210" i="9"/>
  <c r="AE211" i="9"/>
  <c r="AE212" i="9"/>
  <c r="AE213" i="9"/>
  <c r="AE214" i="9"/>
  <c r="AE215" i="9"/>
  <c r="AE216" i="9"/>
  <c r="AE217" i="9"/>
  <c r="AE218" i="9"/>
  <c r="AE219" i="9"/>
  <c r="AE220" i="9"/>
  <c r="AE221" i="9"/>
  <c r="AE222" i="9"/>
  <c r="AE223" i="9"/>
  <c r="AE224" i="9"/>
  <c r="AE225" i="9"/>
  <c r="AE226" i="9"/>
  <c r="AE227" i="9"/>
  <c r="AE228" i="9"/>
  <c r="AE229" i="9"/>
  <c r="AE230" i="9"/>
  <c r="AE231" i="9"/>
  <c r="AE232" i="9"/>
  <c r="AE233" i="9"/>
  <c r="AE234" i="9"/>
  <c r="AE235" i="9"/>
  <c r="AE236" i="9"/>
  <c r="AE237" i="9"/>
  <c r="AE238" i="9"/>
  <c r="AE239" i="9"/>
  <c r="AE240" i="9"/>
  <c r="AE241" i="9"/>
  <c r="AE242" i="9"/>
  <c r="AE243" i="9"/>
  <c r="AE244" i="9"/>
  <c r="AE245" i="9"/>
  <c r="AE246" i="9"/>
  <c r="AE247" i="9"/>
  <c r="AE248" i="9"/>
  <c r="AE249" i="9"/>
  <c r="AE250" i="9"/>
  <c r="AE251" i="9"/>
  <c r="AE252" i="9"/>
  <c r="AE253" i="9"/>
  <c r="AE254" i="9"/>
  <c r="AE255" i="9"/>
  <c r="AE256" i="9"/>
  <c r="AE257" i="9"/>
  <c r="AE258" i="9"/>
  <c r="AE259" i="9"/>
  <c r="AE260" i="9"/>
  <c r="AE261" i="9"/>
  <c r="AE262" i="9"/>
  <c r="AE263" i="9"/>
  <c r="AE264" i="9"/>
  <c r="AE265" i="9"/>
  <c r="AE266" i="9"/>
  <c r="AE267" i="9"/>
  <c r="AE268" i="9"/>
  <c r="AE269" i="9"/>
  <c r="AE270" i="9"/>
  <c r="AE271" i="9"/>
  <c r="AE272" i="9"/>
  <c r="AE273" i="9"/>
  <c r="AE274" i="9"/>
  <c r="AE275" i="9"/>
  <c r="AE276" i="9"/>
  <c r="AE277" i="9"/>
  <c r="AE278" i="9"/>
  <c r="AE279" i="9"/>
  <c r="AE280" i="9"/>
  <c r="AE281" i="9"/>
  <c r="AE282" i="9"/>
  <c r="AE283" i="9"/>
  <c r="AE284" i="9"/>
  <c r="AE285" i="9"/>
  <c r="AE286" i="9"/>
  <c r="AE287" i="9"/>
  <c r="AE288" i="9"/>
  <c r="AE289" i="9"/>
  <c r="AE290" i="9"/>
  <c r="AE291" i="9"/>
  <c r="AE292" i="9"/>
  <c r="AE293" i="9"/>
  <c r="AE294" i="9"/>
  <c r="AE295" i="9"/>
  <c r="AE296" i="9"/>
  <c r="AE297" i="9"/>
  <c r="AE298" i="9"/>
  <c r="AE299" i="9"/>
  <c r="AE300" i="9"/>
  <c r="AE301" i="9"/>
  <c r="AE302" i="9"/>
  <c r="AE303" i="9"/>
  <c r="AE304" i="9"/>
  <c r="AE305" i="9"/>
  <c r="AE306" i="9"/>
  <c r="AE307" i="9"/>
  <c r="AE308" i="9"/>
  <c r="AE309" i="9"/>
  <c r="AE310" i="9"/>
  <c r="AE311" i="9"/>
  <c r="AE312" i="9"/>
  <c r="AE313" i="9"/>
  <c r="AE314" i="9"/>
  <c r="AE315" i="9"/>
  <c r="AE316" i="9"/>
  <c r="AE317" i="9"/>
  <c r="AE318" i="9"/>
  <c r="AE319" i="9"/>
  <c r="AE320" i="9"/>
  <c r="AE321" i="9"/>
  <c r="AE322" i="9"/>
  <c r="AE323" i="9"/>
  <c r="AE324" i="9"/>
  <c r="AE325" i="9"/>
  <c r="AE326" i="9"/>
  <c r="AE327" i="9"/>
  <c r="AE328" i="9"/>
  <c r="AE329" i="9"/>
  <c r="AE330" i="9"/>
  <c r="AE331" i="9"/>
  <c r="AE332" i="9"/>
  <c r="AE333" i="9"/>
  <c r="AE334" i="9"/>
  <c r="AE335" i="9"/>
  <c r="AE336" i="9"/>
  <c r="AE337" i="9"/>
  <c r="AE338" i="9"/>
  <c r="AE339" i="9"/>
  <c r="AE340" i="9"/>
  <c r="AE341" i="9"/>
  <c r="AE342" i="9"/>
  <c r="AE343" i="9"/>
  <c r="AE344" i="9"/>
  <c r="AE345" i="9"/>
  <c r="AE346" i="9"/>
  <c r="AE347" i="9"/>
  <c r="AE348" i="9"/>
  <c r="AE349" i="9"/>
  <c r="AE350" i="9"/>
  <c r="AE351" i="9"/>
  <c r="AE352" i="9"/>
  <c r="AE353" i="9"/>
  <c r="AE354" i="9"/>
  <c r="AE355" i="9"/>
  <c r="AE356" i="9"/>
  <c r="AE357" i="9"/>
  <c r="AE358" i="9"/>
  <c r="AE359" i="9"/>
  <c r="AE360" i="9"/>
  <c r="AE361" i="9"/>
  <c r="AE362" i="9"/>
  <c r="AE363" i="9"/>
  <c r="AE364" i="9"/>
  <c r="AE365" i="9"/>
  <c r="AE366" i="9"/>
  <c r="AE367" i="9"/>
  <c r="AE368" i="9"/>
  <c r="AE369" i="9"/>
  <c r="AE370" i="9"/>
  <c r="AE371" i="9"/>
  <c r="AE372" i="9"/>
  <c r="AE373" i="9"/>
  <c r="AE374" i="9"/>
  <c r="AE375" i="9"/>
  <c r="AE376" i="9"/>
  <c r="AE377" i="9"/>
  <c r="AE378" i="9"/>
  <c r="AE379" i="9"/>
  <c r="AE380" i="9"/>
  <c r="AE381" i="9"/>
  <c r="AE382" i="9"/>
  <c r="AE383" i="9"/>
  <c r="AE384" i="9"/>
  <c r="AE385" i="9"/>
  <c r="AE386" i="9"/>
  <c r="AE387" i="9"/>
  <c r="AE388" i="9"/>
  <c r="AE389" i="9"/>
  <c r="AE390" i="9"/>
  <c r="AE391" i="9"/>
  <c r="AE392" i="9"/>
  <c r="AE393" i="9"/>
  <c r="AE394" i="9"/>
  <c r="AE395" i="9"/>
  <c r="AE396" i="9"/>
  <c r="AE397" i="9"/>
  <c r="AE398" i="9"/>
  <c r="AE399" i="9"/>
  <c r="AE400" i="9"/>
  <c r="AE401" i="9"/>
  <c r="AE402" i="9"/>
  <c r="AE403" i="9"/>
  <c r="AE404" i="9"/>
  <c r="AE405" i="9"/>
  <c r="AE406" i="9"/>
  <c r="AE407" i="9"/>
  <c r="AE408" i="9"/>
  <c r="AE409" i="9"/>
  <c r="AE410" i="9"/>
  <c r="AE411" i="9"/>
  <c r="AE412" i="9"/>
  <c r="AE413" i="9"/>
  <c r="AE414" i="9"/>
  <c r="AE415" i="9"/>
  <c r="S3" i="9" l="1"/>
  <c r="AL3" i="9" s="1"/>
  <c r="K4" i="6" s="1"/>
  <c r="S4" i="9"/>
  <c r="AL4" i="9" s="1"/>
  <c r="K5" i="6" s="1"/>
  <c r="V5" i="9"/>
  <c r="W5" i="9" s="1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AL53" i="9" s="1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V2" i="9"/>
  <c r="AE3" i="9"/>
  <c r="AE4" i="9"/>
  <c r="AE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M53" i="9" l="1"/>
  <c r="T314" i="9"/>
  <c r="T282" i="9"/>
  <c r="T258" i="9"/>
  <c r="T234" i="9"/>
  <c r="T210" i="9"/>
  <c r="T186" i="9"/>
  <c r="T170" i="9"/>
  <c r="T154" i="9"/>
  <c r="T146" i="9"/>
  <c r="T130" i="9"/>
  <c r="T122" i="9"/>
  <c r="T114" i="9"/>
  <c r="T98" i="9"/>
  <c r="T90" i="9"/>
  <c r="T82" i="9"/>
  <c r="T74" i="9"/>
  <c r="T66" i="9"/>
  <c r="T58" i="9"/>
  <c r="T50" i="9"/>
  <c r="T42" i="9"/>
  <c r="T34" i="9"/>
  <c r="T26" i="9"/>
  <c r="T18" i="9"/>
  <c r="T10" i="9"/>
  <c r="T322" i="9"/>
  <c r="T306" i="9"/>
  <c r="T298" i="9"/>
  <c r="T290" i="9"/>
  <c r="T274" i="9"/>
  <c r="T266" i="9"/>
  <c r="T250" i="9"/>
  <c r="T242" i="9"/>
  <c r="T226" i="9"/>
  <c r="T218" i="9"/>
  <c r="T202" i="9"/>
  <c r="T194" i="9"/>
  <c r="T178" i="9"/>
  <c r="T162" i="9"/>
  <c r="T138" i="9"/>
  <c r="T106" i="9"/>
  <c r="T321" i="9"/>
  <c r="T313" i="9"/>
  <c r="T305" i="9"/>
  <c r="T297" i="9"/>
  <c r="T289" i="9"/>
  <c r="T281" i="9"/>
  <c r="T273" i="9"/>
  <c r="T265" i="9"/>
  <c r="T257" i="9"/>
  <c r="T249" i="9"/>
  <c r="T241" i="9"/>
  <c r="T233" i="9"/>
  <c r="T225" i="9"/>
  <c r="T217" i="9"/>
  <c r="T209" i="9"/>
  <c r="T201" i="9"/>
  <c r="T193" i="9"/>
  <c r="T185" i="9"/>
  <c r="T177" i="9"/>
  <c r="T169" i="9"/>
  <c r="T161" i="9"/>
  <c r="T153" i="9"/>
  <c r="T145" i="9"/>
  <c r="T137" i="9"/>
  <c r="T129" i="9"/>
  <c r="T121" i="9"/>
  <c r="T113" i="9"/>
  <c r="T105" i="9"/>
  <c r="T97" i="9"/>
  <c r="T89" i="9"/>
  <c r="T81" i="9"/>
  <c r="T73" i="9"/>
  <c r="T65" i="9"/>
  <c r="T57" i="9"/>
  <c r="T49" i="9"/>
  <c r="T41" i="9"/>
  <c r="T33" i="9"/>
  <c r="T25" i="9"/>
  <c r="T17" i="9"/>
  <c r="T9" i="9"/>
  <c r="T320" i="9"/>
  <c r="T288" i="9"/>
  <c r="T240" i="9"/>
  <c r="T208" i="9"/>
  <c r="T168" i="9"/>
  <c r="T128" i="9"/>
  <c r="T88" i="9"/>
  <c r="T16" i="9"/>
  <c r="T327" i="9"/>
  <c r="T319" i="9"/>
  <c r="T311" i="9"/>
  <c r="T303" i="9"/>
  <c r="T295" i="9"/>
  <c r="T287" i="9"/>
  <c r="T279" i="9"/>
  <c r="T271" i="9"/>
  <c r="T263" i="9"/>
  <c r="T255" i="9"/>
  <c r="T247" i="9"/>
  <c r="T239" i="9"/>
  <c r="T231" i="9"/>
  <c r="T223" i="9"/>
  <c r="T215" i="9"/>
  <c r="T207" i="9"/>
  <c r="T199" i="9"/>
  <c r="T191" i="9"/>
  <c r="T183" i="9"/>
  <c r="T175" i="9"/>
  <c r="T167" i="9"/>
  <c r="T159" i="9"/>
  <c r="T151" i="9"/>
  <c r="T143" i="9"/>
  <c r="T135" i="9"/>
  <c r="T127" i="9"/>
  <c r="T119" i="9"/>
  <c r="T111" i="9"/>
  <c r="T103" i="9"/>
  <c r="T95" i="9"/>
  <c r="T87" i="9"/>
  <c r="T79" i="9"/>
  <c r="T71" i="9"/>
  <c r="T63" i="9"/>
  <c r="T55" i="9"/>
  <c r="T47" i="9"/>
  <c r="T39" i="9"/>
  <c r="T31" i="9"/>
  <c r="T23" i="9"/>
  <c r="T15" i="9"/>
  <c r="T7" i="9"/>
  <c r="T304" i="9"/>
  <c r="T280" i="9"/>
  <c r="T248" i="9"/>
  <c r="T216" i="9"/>
  <c r="T192" i="9"/>
  <c r="T160" i="9"/>
  <c r="T136" i="9"/>
  <c r="T104" i="9"/>
  <c r="T64" i="9"/>
  <c r="T8" i="9"/>
  <c r="T334" i="9"/>
  <c r="AL334" i="9"/>
  <c r="T326" i="9"/>
  <c r="T318" i="9"/>
  <c r="T310" i="9"/>
  <c r="T302" i="9"/>
  <c r="T294" i="9"/>
  <c r="T286" i="9"/>
  <c r="T278" i="9"/>
  <c r="T270" i="9"/>
  <c r="T262" i="9"/>
  <c r="T254" i="9"/>
  <c r="T246" i="9"/>
  <c r="T238" i="9"/>
  <c r="T230" i="9"/>
  <c r="T222" i="9"/>
  <c r="T214" i="9"/>
  <c r="T206" i="9"/>
  <c r="T198" i="9"/>
  <c r="T190" i="9"/>
  <c r="T182" i="9"/>
  <c r="T174" i="9"/>
  <c r="T166" i="9"/>
  <c r="T158" i="9"/>
  <c r="T150" i="9"/>
  <c r="T142" i="9"/>
  <c r="T134" i="9"/>
  <c r="T126" i="9"/>
  <c r="T118" i="9"/>
  <c r="T110" i="9"/>
  <c r="T102" i="9"/>
  <c r="T94" i="9"/>
  <c r="T86" i="9"/>
  <c r="T78" i="9"/>
  <c r="T70" i="9"/>
  <c r="T62" i="9"/>
  <c r="T54" i="9"/>
  <c r="T46" i="9"/>
  <c r="T38" i="9"/>
  <c r="T30" i="9"/>
  <c r="T22" i="9"/>
  <c r="T14" i="9"/>
  <c r="T6" i="9"/>
  <c r="T296" i="9"/>
  <c r="T264" i="9"/>
  <c r="T224" i="9"/>
  <c r="T184" i="9"/>
  <c r="T144" i="9"/>
  <c r="T112" i="9"/>
  <c r="T96" i="9"/>
  <c r="T72" i="9"/>
  <c r="T56" i="9"/>
  <c r="T48" i="9"/>
  <c r="T24" i="9"/>
  <c r="T333" i="9"/>
  <c r="AL333" i="9"/>
  <c r="T325" i="9"/>
  <c r="T317" i="9"/>
  <c r="T309" i="9"/>
  <c r="T301" i="9"/>
  <c r="T293" i="9"/>
  <c r="T285" i="9"/>
  <c r="T277" i="9"/>
  <c r="T269" i="9"/>
  <c r="T261" i="9"/>
  <c r="T253" i="9"/>
  <c r="T245" i="9"/>
  <c r="T237" i="9"/>
  <c r="T229" i="9"/>
  <c r="T221" i="9"/>
  <c r="T213" i="9"/>
  <c r="T205" i="9"/>
  <c r="T197" i="9"/>
  <c r="T189" i="9"/>
  <c r="T181" i="9"/>
  <c r="T173" i="9"/>
  <c r="T165" i="9"/>
  <c r="T157" i="9"/>
  <c r="T149" i="9"/>
  <c r="T141" i="9"/>
  <c r="T133" i="9"/>
  <c r="T125" i="9"/>
  <c r="T117" i="9"/>
  <c r="T109" i="9"/>
  <c r="T101" i="9"/>
  <c r="T93" i="9"/>
  <c r="T85" i="9"/>
  <c r="T77" i="9"/>
  <c r="T69" i="9"/>
  <c r="T61" i="9"/>
  <c r="T45" i="9"/>
  <c r="T37" i="9"/>
  <c r="T29" i="9"/>
  <c r="T21" i="9"/>
  <c r="T13" i="9"/>
  <c r="T312" i="9"/>
  <c r="T272" i="9"/>
  <c r="T232" i="9"/>
  <c r="T200" i="9"/>
  <c r="T152" i="9"/>
  <c r="T120" i="9"/>
  <c r="T80" i="9"/>
  <c r="T32" i="9"/>
  <c r="T324" i="9"/>
  <c r="T316" i="9"/>
  <c r="T308" i="9"/>
  <c r="T300" i="9"/>
  <c r="T292" i="9"/>
  <c r="T284" i="9"/>
  <c r="T276" i="9"/>
  <c r="T268" i="9"/>
  <c r="T260" i="9"/>
  <c r="T252" i="9"/>
  <c r="T244" i="9"/>
  <c r="T236" i="9"/>
  <c r="T228" i="9"/>
  <c r="T220" i="9"/>
  <c r="T212" i="9"/>
  <c r="T204" i="9"/>
  <c r="T196" i="9"/>
  <c r="T188" i="9"/>
  <c r="T180" i="9"/>
  <c r="T172" i="9"/>
  <c r="T164" i="9"/>
  <c r="T156" i="9"/>
  <c r="T148" i="9"/>
  <c r="T140" i="9"/>
  <c r="T132" i="9"/>
  <c r="T124" i="9"/>
  <c r="T116" i="9"/>
  <c r="T108" i="9"/>
  <c r="T100" i="9"/>
  <c r="T92" i="9"/>
  <c r="T84" i="9"/>
  <c r="T76" i="9"/>
  <c r="T68" i="9"/>
  <c r="AL68" i="9"/>
  <c r="T60" i="9"/>
  <c r="T52" i="9"/>
  <c r="T44" i="9"/>
  <c r="T36" i="9"/>
  <c r="AL36" i="9"/>
  <c r="T28" i="9"/>
  <c r="T20" i="9"/>
  <c r="T12" i="9"/>
  <c r="AL12" i="9"/>
  <c r="K13" i="6" s="1"/>
  <c r="T256" i="9"/>
  <c r="T176" i="9"/>
  <c r="T40" i="9"/>
  <c r="T323" i="9"/>
  <c r="T315" i="9"/>
  <c r="T307" i="9"/>
  <c r="T299" i="9"/>
  <c r="T291" i="9"/>
  <c r="T283" i="9"/>
  <c r="T275" i="9"/>
  <c r="T267" i="9"/>
  <c r="T259" i="9"/>
  <c r="T251" i="9"/>
  <c r="T243" i="9"/>
  <c r="T235" i="9"/>
  <c r="T227" i="9"/>
  <c r="T219" i="9"/>
  <c r="T211" i="9"/>
  <c r="T203" i="9"/>
  <c r="T195" i="9"/>
  <c r="T187" i="9"/>
  <c r="T179" i="9"/>
  <c r="T171" i="9"/>
  <c r="T163" i="9"/>
  <c r="T155" i="9"/>
  <c r="T147" i="9"/>
  <c r="T139" i="9"/>
  <c r="T131" i="9"/>
  <c r="T123" i="9"/>
  <c r="T115" i="9"/>
  <c r="T107" i="9"/>
  <c r="T99" i="9"/>
  <c r="T91" i="9"/>
  <c r="T83" i="9"/>
  <c r="T75" i="9"/>
  <c r="T67" i="9"/>
  <c r="T59" i="9"/>
  <c r="T51" i="9"/>
  <c r="T43" i="9"/>
  <c r="T35" i="9"/>
  <c r="T27" i="9"/>
  <c r="T19" i="9"/>
  <c r="T11" i="9"/>
  <c r="Q328" i="9"/>
  <c r="AN328" i="9" s="1"/>
  <c r="T328" i="9"/>
  <c r="T53" i="9"/>
  <c r="Q329" i="9"/>
  <c r="AN329" i="9" s="1"/>
  <c r="T329" i="9"/>
  <c r="Q332" i="9"/>
  <c r="AN332" i="9" s="1"/>
  <c r="T332" i="9"/>
  <c r="T4" i="9"/>
  <c r="Q330" i="9"/>
  <c r="AN330" i="9" s="1"/>
  <c r="T330" i="9"/>
  <c r="Q331" i="9"/>
  <c r="AN331" i="9" s="1"/>
  <c r="T331" i="9"/>
  <c r="T3" i="9"/>
  <c r="Q333" i="9"/>
  <c r="AN333" i="9" s="1"/>
  <c r="Q334" i="9"/>
  <c r="AN334" i="9" s="1"/>
  <c r="V320" i="9"/>
  <c r="W320" i="9" s="1"/>
  <c r="V288" i="9"/>
  <c r="W288" i="9" s="1"/>
  <c r="V272" i="9"/>
  <c r="W272" i="9" s="1"/>
  <c r="V240" i="9"/>
  <c r="W240" i="9" s="1"/>
  <c r="V216" i="9"/>
  <c r="W216" i="9" s="1"/>
  <c r="V200" i="9"/>
  <c r="W200" i="9" s="1"/>
  <c r="V168" i="9"/>
  <c r="W168" i="9" s="1"/>
  <c r="V152" i="9"/>
  <c r="W152" i="9" s="1"/>
  <c r="V120" i="9"/>
  <c r="W120" i="9" s="1"/>
  <c r="V96" i="9"/>
  <c r="W96" i="9" s="1"/>
  <c r="V72" i="9"/>
  <c r="W72" i="9" s="1"/>
  <c r="V24" i="9"/>
  <c r="W24" i="9" s="1"/>
  <c r="V331" i="9"/>
  <c r="W331" i="9" s="1"/>
  <c r="V315" i="9"/>
  <c r="W315" i="9" s="1"/>
  <c r="V307" i="9"/>
  <c r="W307" i="9" s="1"/>
  <c r="V291" i="9"/>
  <c r="W291" i="9" s="1"/>
  <c r="V275" i="9"/>
  <c r="W275" i="9" s="1"/>
  <c r="V259" i="9"/>
  <c r="W259" i="9" s="1"/>
  <c r="V251" i="9"/>
  <c r="W251" i="9" s="1"/>
  <c r="V235" i="9"/>
  <c r="W235" i="9" s="1"/>
  <c r="V219" i="9"/>
  <c r="W219" i="9" s="1"/>
  <c r="V203" i="9"/>
  <c r="W203" i="9" s="1"/>
  <c r="V195" i="9"/>
  <c r="W195" i="9" s="1"/>
  <c r="V179" i="9"/>
  <c r="W179" i="9" s="1"/>
  <c r="V163" i="9"/>
  <c r="W163" i="9" s="1"/>
  <c r="V147" i="9"/>
  <c r="W147" i="9" s="1"/>
  <c r="V139" i="9"/>
  <c r="W139" i="9" s="1"/>
  <c r="V123" i="9"/>
  <c r="W123" i="9" s="1"/>
  <c r="V107" i="9"/>
  <c r="W107" i="9" s="1"/>
  <c r="V99" i="9"/>
  <c r="W99" i="9" s="1"/>
  <c r="V83" i="9"/>
  <c r="W83" i="9" s="1"/>
  <c r="V75" i="9"/>
  <c r="W75" i="9" s="1"/>
  <c r="V59" i="9"/>
  <c r="W59" i="9" s="1"/>
  <c r="V51" i="9"/>
  <c r="W51" i="9" s="1"/>
  <c r="V43" i="9"/>
  <c r="W43" i="9" s="1"/>
  <c r="V35" i="9"/>
  <c r="W35" i="9" s="1"/>
  <c r="V27" i="9"/>
  <c r="W27" i="9" s="1"/>
  <c r="V19" i="9"/>
  <c r="W19" i="9" s="1"/>
  <c r="V11" i="9"/>
  <c r="W11" i="9" s="1"/>
  <c r="V330" i="9"/>
  <c r="W330" i="9" s="1"/>
  <c r="V322" i="9"/>
  <c r="W322" i="9" s="1"/>
  <c r="V314" i="9"/>
  <c r="W314" i="9" s="1"/>
  <c r="V306" i="9"/>
  <c r="W306" i="9" s="1"/>
  <c r="V298" i="9"/>
  <c r="W298" i="9" s="1"/>
  <c r="V290" i="9"/>
  <c r="W290" i="9" s="1"/>
  <c r="V282" i="9"/>
  <c r="W282" i="9" s="1"/>
  <c r="V274" i="9"/>
  <c r="W274" i="9" s="1"/>
  <c r="V266" i="9"/>
  <c r="W266" i="9" s="1"/>
  <c r="V258" i="9"/>
  <c r="W258" i="9" s="1"/>
  <c r="V250" i="9"/>
  <c r="W250" i="9" s="1"/>
  <c r="V242" i="9"/>
  <c r="W242" i="9" s="1"/>
  <c r="V234" i="9"/>
  <c r="W234" i="9" s="1"/>
  <c r="V226" i="9"/>
  <c r="W226" i="9" s="1"/>
  <c r="V218" i="9"/>
  <c r="W218" i="9" s="1"/>
  <c r="V210" i="9"/>
  <c r="W210" i="9" s="1"/>
  <c r="V202" i="9"/>
  <c r="W202" i="9" s="1"/>
  <c r="V194" i="9"/>
  <c r="W194" i="9" s="1"/>
  <c r="V186" i="9"/>
  <c r="W186" i="9" s="1"/>
  <c r="V178" i="9"/>
  <c r="W178" i="9" s="1"/>
  <c r="V170" i="9"/>
  <c r="W170" i="9" s="1"/>
  <c r="V162" i="9"/>
  <c r="W162" i="9" s="1"/>
  <c r="V154" i="9"/>
  <c r="W154" i="9" s="1"/>
  <c r="V146" i="9"/>
  <c r="W146" i="9" s="1"/>
  <c r="V138" i="9"/>
  <c r="W138" i="9" s="1"/>
  <c r="V130" i="9"/>
  <c r="W130" i="9" s="1"/>
  <c r="V122" i="9"/>
  <c r="W122" i="9" s="1"/>
  <c r="V114" i="9"/>
  <c r="W114" i="9" s="1"/>
  <c r="V106" i="9"/>
  <c r="W106" i="9" s="1"/>
  <c r="V98" i="9"/>
  <c r="W98" i="9" s="1"/>
  <c r="V90" i="9"/>
  <c r="W90" i="9" s="1"/>
  <c r="V82" i="9"/>
  <c r="W82" i="9" s="1"/>
  <c r="V74" i="9"/>
  <c r="W74" i="9" s="1"/>
  <c r="V66" i="9"/>
  <c r="W66" i="9" s="1"/>
  <c r="V58" i="9"/>
  <c r="W58" i="9" s="1"/>
  <c r="V50" i="9"/>
  <c r="W50" i="9" s="1"/>
  <c r="V42" i="9"/>
  <c r="W42" i="9" s="1"/>
  <c r="V34" i="9"/>
  <c r="W34" i="9" s="1"/>
  <c r="V26" i="9"/>
  <c r="W26" i="9" s="1"/>
  <c r="V18" i="9"/>
  <c r="W18" i="9" s="1"/>
  <c r="V10" i="9"/>
  <c r="W10" i="9" s="1"/>
  <c r="V323" i="9"/>
  <c r="W323" i="9" s="1"/>
  <c r="V299" i="9"/>
  <c r="W299" i="9" s="1"/>
  <c r="V283" i="9"/>
  <c r="W283" i="9" s="1"/>
  <c r="V267" i="9"/>
  <c r="W267" i="9" s="1"/>
  <c r="V243" i="9"/>
  <c r="W243" i="9" s="1"/>
  <c r="V227" i="9"/>
  <c r="W227" i="9" s="1"/>
  <c r="V211" i="9"/>
  <c r="W211" i="9" s="1"/>
  <c r="V187" i="9"/>
  <c r="W187" i="9" s="1"/>
  <c r="V171" i="9"/>
  <c r="W171" i="9" s="1"/>
  <c r="V155" i="9"/>
  <c r="W155" i="9" s="1"/>
  <c r="V131" i="9"/>
  <c r="W131" i="9" s="1"/>
  <c r="V115" i="9"/>
  <c r="W115" i="9" s="1"/>
  <c r="V91" i="9"/>
  <c r="W91" i="9" s="1"/>
  <c r="V67" i="9"/>
  <c r="W67" i="9" s="1"/>
  <c r="V3" i="9"/>
  <c r="W3" i="9" s="1"/>
  <c r="V329" i="9"/>
  <c r="W329" i="9" s="1"/>
  <c r="V321" i="9"/>
  <c r="W321" i="9" s="1"/>
  <c r="V313" i="9"/>
  <c r="W313" i="9" s="1"/>
  <c r="V305" i="9"/>
  <c r="W305" i="9" s="1"/>
  <c r="V297" i="9"/>
  <c r="W297" i="9" s="1"/>
  <c r="V289" i="9"/>
  <c r="W289" i="9" s="1"/>
  <c r="V281" i="9"/>
  <c r="W281" i="9" s="1"/>
  <c r="V273" i="9"/>
  <c r="W273" i="9" s="1"/>
  <c r="V265" i="9"/>
  <c r="W265" i="9" s="1"/>
  <c r="V257" i="9"/>
  <c r="W257" i="9" s="1"/>
  <c r="V249" i="9"/>
  <c r="W249" i="9" s="1"/>
  <c r="V241" i="9"/>
  <c r="W241" i="9" s="1"/>
  <c r="V233" i="9"/>
  <c r="W233" i="9" s="1"/>
  <c r="V225" i="9"/>
  <c r="W225" i="9" s="1"/>
  <c r="V217" i="9"/>
  <c r="W217" i="9" s="1"/>
  <c r="V209" i="9"/>
  <c r="W209" i="9" s="1"/>
  <c r="V201" i="9"/>
  <c r="W201" i="9" s="1"/>
  <c r="V193" i="9"/>
  <c r="W193" i="9" s="1"/>
  <c r="V185" i="9"/>
  <c r="W185" i="9" s="1"/>
  <c r="V177" i="9"/>
  <c r="W177" i="9" s="1"/>
  <c r="V169" i="9"/>
  <c r="W169" i="9" s="1"/>
  <c r="V161" i="9"/>
  <c r="W161" i="9" s="1"/>
  <c r="V153" i="9"/>
  <c r="W153" i="9" s="1"/>
  <c r="V145" i="9"/>
  <c r="W145" i="9" s="1"/>
  <c r="V137" i="9"/>
  <c r="W137" i="9" s="1"/>
  <c r="V129" i="9"/>
  <c r="W129" i="9" s="1"/>
  <c r="V121" i="9"/>
  <c r="W121" i="9" s="1"/>
  <c r="V113" i="9"/>
  <c r="W113" i="9" s="1"/>
  <c r="V105" i="9"/>
  <c r="W105" i="9" s="1"/>
  <c r="V97" i="9"/>
  <c r="W97" i="9" s="1"/>
  <c r="V89" i="9"/>
  <c r="W89" i="9" s="1"/>
  <c r="V81" i="9"/>
  <c r="W81" i="9" s="1"/>
  <c r="V73" i="9"/>
  <c r="W73" i="9" s="1"/>
  <c r="V65" i="9"/>
  <c r="W65" i="9" s="1"/>
  <c r="V57" i="9"/>
  <c r="W57" i="9" s="1"/>
  <c r="V49" i="9"/>
  <c r="W49" i="9" s="1"/>
  <c r="V41" i="9"/>
  <c r="W41" i="9" s="1"/>
  <c r="V33" i="9"/>
  <c r="W33" i="9" s="1"/>
  <c r="V25" i="9"/>
  <c r="W25" i="9" s="1"/>
  <c r="V17" i="9"/>
  <c r="W17" i="9" s="1"/>
  <c r="V9" i="9"/>
  <c r="W9" i="9" s="1"/>
  <c r="V312" i="9"/>
  <c r="W312" i="9" s="1"/>
  <c r="V264" i="9"/>
  <c r="W264" i="9" s="1"/>
  <c r="V232" i="9"/>
  <c r="W232" i="9" s="1"/>
  <c r="V192" i="9"/>
  <c r="W192" i="9" s="1"/>
  <c r="V144" i="9"/>
  <c r="W144" i="9" s="1"/>
  <c r="V104" i="9"/>
  <c r="W104" i="9" s="1"/>
  <c r="V80" i="9"/>
  <c r="W80" i="9" s="1"/>
  <c r="V56" i="9"/>
  <c r="W56" i="9" s="1"/>
  <c r="V40" i="9"/>
  <c r="W40" i="9" s="1"/>
  <c r="V16" i="9"/>
  <c r="W16" i="9" s="1"/>
  <c r="V319" i="9"/>
  <c r="W319" i="9" s="1"/>
  <c r="V295" i="9"/>
  <c r="W295" i="9" s="1"/>
  <c r="V279" i="9"/>
  <c r="W279" i="9" s="1"/>
  <c r="V255" i="9"/>
  <c r="W255" i="9" s="1"/>
  <c r="V247" i="9"/>
  <c r="W247" i="9" s="1"/>
  <c r="V223" i="9"/>
  <c r="W223" i="9" s="1"/>
  <c r="V207" i="9"/>
  <c r="W207" i="9" s="1"/>
  <c r="V191" i="9"/>
  <c r="W191" i="9" s="1"/>
  <c r="V175" i="9"/>
  <c r="W175" i="9" s="1"/>
  <c r="V159" i="9"/>
  <c r="W159" i="9" s="1"/>
  <c r="V143" i="9"/>
  <c r="W143" i="9" s="1"/>
  <c r="V103" i="9"/>
  <c r="W103" i="9" s="1"/>
  <c r="V79" i="9"/>
  <c r="W79" i="9" s="1"/>
  <c r="V7" i="9"/>
  <c r="W7" i="9" s="1"/>
  <c r="V334" i="9"/>
  <c r="W334" i="9" s="1"/>
  <c r="V326" i="9"/>
  <c r="W326" i="9" s="1"/>
  <c r="V318" i="9"/>
  <c r="W318" i="9" s="1"/>
  <c r="V310" i="9"/>
  <c r="W310" i="9" s="1"/>
  <c r="V302" i="9"/>
  <c r="W302" i="9" s="1"/>
  <c r="V294" i="9"/>
  <c r="W294" i="9" s="1"/>
  <c r="V286" i="9"/>
  <c r="W286" i="9" s="1"/>
  <c r="V278" i="9"/>
  <c r="W278" i="9" s="1"/>
  <c r="V270" i="9"/>
  <c r="W270" i="9" s="1"/>
  <c r="V262" i="9"/>
  <c r="W262" i="9" s="1"/>
  <c r="V254" i="9"/>
  <c r="W254" i="9" s="1"/>
  <c r="V246" i="9"/>
  <c r="W246" i="9" s="1"/>
  <c r="V238" i="9"/>
  <c r="W238" i="9" s="1"/>
  <c r="V230" i="9"/>
  <c r="W230" i="9" s="1"/>
  <c r="V222" i="9"/>
  <c r="W222" i="9" s="1"/>
  <c r="V214" i="9"/>
  <c r="W214" i="9" s="1"/>
  <c r="V206" i="9"/>
  <c r="W206" i="9" s="1"/>
  <c r="V198" i="9"/>
  <c r="W198" i="9" s="1"/>
  <c r="V190" i="9"/>
  <c r="W190" i="9" s="1"/>
  <c r="V182" i="9"/>
  <c r="W182" i="9" s="1"/>
  <c r="V174" i="9"/>
  <c r="W174" i="9" s="1"/>
  <c r="V166" i="9"/>
  <c r="W166" i="9" s="1"/>
  <c r="V158" i="9"/>
  <c r="W158" i="9" s="1"/>
  <c r="V150" i="9"/>
  <c r="W150" i="9" s="1"/>
  <c r="V142" i="9"/>
  <c r="W142" i="9" s="1"/>
  <c r="V134" i="9"/>
  <c r="W134" i="9" s="1"/>
  <c r="V126" i="9"/>
  <c r="W126" i="9" s="1"/>
  <c r="V118" i="9"/>
  <c r="W118" i="9" s="1"/>
  <c r="V110" i="9"/>
  <c r="W110" i="9" s="1"/>
  <c r="V102" i="9"/>
  <c r="W102" i="9" s="1"/>
  <c r="V94" i="9"/>
  <c r="W94" i="9" s="1"/>
  <c r="V86" i="9"/>
  <c r="W86" i="9" s="1"/>
  <c r="V78" i="9"/>
  <c r="W78" i="9" s="1"/>
  <c r="V70" i="9"/>
  <c r="W70" i="9" s="1"/>
  <c r="V62" i="9"/>
  <c r="W62" i="9" s="1"/>
  <c r="V54" i="9"/>
  <c r="W54" i="9" s="1"/>
  <c r="V46" i="9"/>
  <c r="W46" i="9" s="1"/>
  <c r="V38" i="9"/>
  <c r="W38" i="9" s="1"/>
  <c r="V30" i="9"/>
  <c r="W30" i="9" s="1"/>
  <c r="V22" i="9"/>
  <c r="W22" i="9" s="1"/>
  <c r="V14" i="9"/>
  <c r="W14" i="9" s="1"/>
  <c r="V6" i="9"/>
  <c r="W6" i="9" s="1"/>
  <c r="V328" i="9"/>
  <c r="W328" i="9" s="1"/>
  <c r="V296" i="9"/>
  <c r="W296" i="9" s="1"/>
  <c r="V280" i="9"/>
  <c r="W280" i="9" s="1"/>
  <c r="V248" i="9"/>
  <c r="W248" i="9" s="1"/>
  <c r="V208" i="9"/>
  <c r="W208" i="9" s="1"/>
  <c r="V184" i="9"/>
  <c r="W184" i="9" s="1"/>
  <c r="V160" i="9"/>
  <c r="W160" i="9" s="1"/>
  <c r="V136" i="9"/>
  <c r="W136" i="9" s="1"/>
  <c r="V112" i="9"/>
  <c r="W112" i="9" s="1"/>
  <c r="V88" i="9"/>
  <c r="W88" i="9" s="1"/>
  <c r="V64" i="9"/>
  <c r="W64" i="9" s="1"/>
  <c r="V48" i="9"/>
  <c r="W48" i="9" s="1"/>
  <c r="V8" i="9"/>
  <c r="W8" i="9" s="1"/>
  <c r="V327" i="9"/>
  <c r="W327" i="9" s="1"/>
  <c r="V303" i="9"/>
  <c r="W303" i="9" s="1"/>
  <c r="V287" i="9"/>
  <c r="W287" i="9" s="1"/>
  <c r="V263" i="9"/>
  <c r="W263" i="9" s="1"/>
  <c r="V239" i="9"/>
  <c r="W239" i="9" s="1"/>
  <c r="V215" i="9"/>
  <c r="W215" i="9" s="1"/>
  <c r="V199" i="9"/>
  <c r="W199" i="9" s="1"/>
  <c r="V167" i="9"/>
  <c r="W167" i="9" s="1"/>
  <c r="V151" i="9"/>
  <c r="W151" i="9" s="1"/>
  <c r="V135" i="9"/>
  <c r="W135" i="9" s="1"/>
  <c r="V119" i="9"/>
  <c r="W119" i="9" s="1"/>
  <c r="V111" i="9"/>
  <c r="W111" i="9" s="1"/>
  <c r="V95" i="9"/>
  <c r="W95" i="9" s="1"/>
  <c r="V87" i="9"/>
  <c r="W87" i="9" s="1"/>
  <c r="V71" i="9"/>
  <c r="W71" i="9" s="1"/>
  <c r="V63" i="9"/>
  <c r="W63" i="9" s="1"/>
  <c r="V55" i="9"/>
  <c r="W55" i="9" s="1"/>
  <c r="V47" i="9"/>
  <c r="W47" i="9" s="1"/>
  <c r="V39" i="9"/>
  <c r="W39" i="9" s="1"/>
  <c r="V31" i="9"/>
  <c r="W31" i="9" s="1"/>
  <c r="V15" i="9"/>
  <c r="W15" i="9" s="1"/>
  <c r="V333" i="9"/>
  <c r="W333" i="9" s="1"/>
  <c r="V325" i="9"/>
  <c r="W325" i="9" s="1"/>
  <c r="V317" i="9"/>
  <c r="W317" i="9" s="1"/>
  <c r="V309" i="9"/>
  <c r="W309" i="9" s="1"/>
  <c r="V301" i="9"/>
  <c r="W301" i="9" s="1"/>
  <c r="V293" i="9"/>
  <c r="W293" i="9" s="1"/>
  <c r="V285" i="9"/>
  <c r="W285" i="9" s="1"/>
  <c r="V277" i="9"/>
  <c r="W277" i="9" s="1"/>
  <c r="V269" i="9"/>
  <c r="W269" i="9" s="1"/>
  <c r="V261" i="9"/>
  <c r="W261" i="9" s="1"/>
  <c r="V253" i="9"/>
  <c r="W253" i="9" s="1"/>
  <c r="V245" i="9"/>
  <c r="W245" i="9" s="1"/>
  <c r="V237" i="9"/>
  <c r="W237" i="9" s="1"/>
  <c r="V229" i="9"/>
  <c r="W229" i="9" s="1"/>
  <c r="V221" i="9"/>
  <c r="W221" i="9" s="1"/>
  <c r="V213" i="9"/>
  <c r="W213" i="9" s="1"/>
  <c r="V205" i="9"/>
  <c r="W205" i="9" s="1"/>
  <c r="V197" i="9"/>
  <c r="W197" i="9" s="1"/>
  <c r="V189" i="9"/>
  <c r="W189" i="9" s="1"/>
  <c r="V181" i="9"/>
  <c r="W181" i="9" s="1"/>
  <c r="V173" i="9"/>
  <c r="W173" i="9" s="1"/>
  <c r="V165" i="9"/>
  <c r="W165" i="9" s="1"/>
  <c r="V157" i="9"/>
  <c r="W157" i="9" s="1"/>
  <c r="V149" i="9"/>
  <c r="W149" i="9" s="1"/>
  <c r="V141" i="9"/>
  <c r="W141" i="9" s="1"/>
  <c r="V133" i="9"/>
  <c r="W133" i="9" s="1"/>
  <c r="V125" i="9"/>
  <c r="W125" i="9" s="1"/>
  <c r="V117" i="9"/>
  <c r="W117" i="9" s="1"/>
  <c r="V109" i="9"/>
  <c r="W109" i="9" s="1"/>
  <c r="V101" i="9"/>
  <c r="W101" i="9" s="1"/>
  <c r="V93" i="9"/>
  <c r="W93" i="9" s="1"/>
  <c r="V85" i="9"/>
  <c r="W85" i="9" s="1"/>
  <c r="V77" i="9"/>
  <c r="W77" i="9" s="1"/>
  <c r="V69" i="9"/>
  <c r="W69" i="9" s="1"/>
  <c r="V61" i="9"/>
  <c r="W61" i="9" s="1"/>
  <c r="V53" i="9"/>
  <c r="W53" i="9" s="1"/>
  <c r="V45" i="9"/>
  <c r="W45" i="9" s="1"/>
  <c r="V37" i="9"/>
  <c r="W37" i="9" s="1"/>
  <c r="V29" i="9"/>
  <c r="W29" i="9" s="1"/>
  <c r="V21" i="9"/>
  <c r="W21" i="9" s="1"/>
  <c r="V13" i="9"/>
  <c r="W13" i="9" s="1"/>
  <c r="V304" i="9"/>
  <c r="W304" i="9" s="1"/>
  <c r="V256" i="9"/>
  <c r="W256" i="9" s="1"/>
  <c r="V224" i="9"/>
  <c r="W224" i="9" s="1"/>
  <c r="V176" i="9"/>
  <c r="W176" i="9" s="1"/>
  <c r="V128" i="9"/>
  <c r="W128" i="9" s="1"/>
  <c r="V32" i="9"/>
  <c r="W32" i="9" s="1"/>
  <c r="V311" i="9"/>
  <c r="W311" i="9" s="1"/>
  <c r="V271" i="9"/>
  <c r="W271" i="9" s="1"/>
  <c r="V231" i="9"/>
  <c r="W231" i="9" s="1"/>
  <c r="V183" i="9"/>
  <c r="W183" i="9" s="1"/>
  <c r="V127" i="9"/>
  <c r="W127" i="9" s="1"/>
  <c r="V23" i="9"/>
  <c r="W23" i="9" s="1"/>
  <c r="V332" i="9"/>
  <c r="W332" i="9" s="1"/>
  <c r="V324" i="9"/>
  <c r="W324" i="9" s="1"/>
  <c r="V316" i="9"/>
  <c r="W316" i="9" s="1"/>
  <c r="V308" i="9"/>
  <c r="W308" i="9" s="1"/>
  <c r="V300" i="9"/>
  <c r="W300" i="9" s="1"/>
  <c r="V292" i="9"/>
  <c r="W292" i="9" s="1"/>
  <c r="V284" i="9"/>
  <c r="W284" i="9" s="1"/>
  <c r="V276" i="9"/>
  <c r="W276" i="9" s="1"/>
  <c r="V268" i="9"/>
  <c r="W268" i="9" s="1"/>
  <c r="V260" i="9"/>
  <c r="W260" i="9" s="1"/>
  <c r="V252" i="9"/>
  <c r="W252" i="9" s="1"/>
  <c r="V244" i="9"/>
  <c r="W244" i="9" s="1"/>
  <c r="V236" i="9"/>
  <c r="W236" i="9" s="1"/>
  <c r="V228" i="9"/>
  <c r="W228" i="9" s="1"/>
  <c r="V220" i="9"/>
  <c r="W220" i="9" s="1"/>
  <c r="V212" i="9"/>
  <c r="W212" i="9" s="1"/>
  <c r="V204" i="9"/>
  <c r="W204" i="9" s="1"/>
  <c r="V196" i="9"/>
  <c r="W196" i="9" s="1"/>
  <c r="V188" i="9"/>
  <c r="W188" i="9" s="1"/>
  <c r="V180" i="9"/>
  <c r="W180" i="9" s="1"/>
  <c r="V172" i="9"/>
  <c r="W172" i="9" s="1"/>
  <c r="V164" i="9"/>
  <c r="W164" i="9" s="1"/>
  <c r="V156" i="9"/>
  <c r="W156" i="9" s="1"/>
  <c r="V148" i="9"/>
  <c r="W148" i="9" s="1"/>
  <c r="V140" i="9"/>
  <c r="W140" i="9" s="1"/>
  <c r="V132" i="9"/>
  <c r="W132" i="9" s="1"/>
  <c r="V124" i="9"/>
  <c r="W124" i="9" s="1"/>
  <c r="V116" i="9"/>
  <c r="W116" i="9" s="1"/>
  <c r="V108" i="9"/>
  <c r="W108" i="9" s="1"/>
  <c r="V100" i="9"/>
  <c r="W100" i="9" s="1"/>
  <c r="V92" i="9"/>
  <c r="W92" i="9" s="1"/>
  <c r="V84" i="9"/>
  <c r="W84" i="9" s="1"/>
  <c r="V76" i="9"/>
  <c r="W76" i="9" s="1"/>
  <c r="V68" i="9"/>
  <c r="W68" i="9" s="1"/>
  <c r="V60" i="9"/>
  <c r="W60" i="9" s="1"/>
  <c r="V52" i="9"/>
  <c r="W52" i="9" s="1"/>
  <c r="V44" i="9"/>
  <c r="W44" i="9" s="1"/>
  <c r="V36" i="9"/>
  <c r="W36" i="9" s="1"/>
  <c r="V28" i="9"/>
  <c r="W28" i="9" s="1"/>
  <c r="V20" i="9"/>
  <c r="W20" i="9" s="1"/>
  <c r="V12" i="9"/>
  <c r="W12" i="9" s="1"/>
  <c r="V4" i="9"/>
  <c r="W4" i="9" s="1"/>
  <c r="AI2" i="9"/>
  <c r="X3" i="9"/>
  <c r="AM3" i="9" s="1"/>
  <c r="J4" i="6" s="1"/>
  <c r="X4" i="9"/>
  <c r="AM4" i="9" s="1"/>
  <c r="J5" i="6" s="1"/>
  <c r="X5" i="9"/>
  <c r="AM5" i="9" s="1"/>
  <c r="J6" i="6" s="1"/>
  <c r="X6" i="9"/>
  <c r="X7" i="9"/>
  <c r="X8" i="9"/>
  <c r="X9" i="9"/>
  <c r="X10" i="9"/>
  <c r="X11" i="9"/>
  <c r="X12" i="9"/>
  <c r="AM12" i="9" s="1"/>
  <c r="J13" i="6" s="1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AM36" i="9" s="1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AM68" i="9" s="1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AM333" i="9" s="1"/>
  <c r="X334" i="9"/>
  <c r="AM334" i="9" s="1"/>
  <c r="X335" i="9"/>
  <c r="AM335" i="9" s="1"/>
  <c r="X336" i="9"/>
  <c r="AM336" i="9" s="1"/>
  <c r="X337" i="9"/>
  <c r="AM337" i="9" s="1"/>
  <c r="X338" i="9"/>
  <c r="AM338" i="9" s="1"/>
  <c r="X339" i="9"/>
  <c r="AM339" i="9" s="1"/>
  <c r="X340" i="9"/>
  <c r="AM340" i="9" s="1"/>
  <c r="X341" i="9"/>
  <c r="AM341" i="9" s="1"/>
  <c r="X342" i="9"/>
  <c r="AM342" i="9" s="1"/>
  <c r="X343" i="9"/>
  <c r="AM343" i="9" s="1"/>
  <c r="X344" i="9"/>
  <c r="AM344" i="9" s="1"/>
  <c r="X345" i="9"/>
  <c r="AM345" i="9" s="1"/>
  <c r="X346" i="9"/>
  <c r="AM346" i="9" s="1"/>
  <c r="X347" i="9"/>
  <c r="AM347" i="9" s="1"/>
  <c r="X348" i="9"/>
  <c r="AM348" i="9" s="1"/>
  <c r="X349" i="9"/>
  <c r="AM349" i="9" s="1"/>
  <c r="X350" i="9"/>
  <c r="AM350" i="9" s="1"/>
  <c r="X351" i="9"/>
  <c r="AM351" i="9" s="1"/>
  <c r="X352" i="9"/>
  <c r="AM352" i="9" s="1"/>
  <c r="X353" i="9"/>
  <c r="AM353" i="9" s="1"/>
  <c r="X354" i="9"/>
  <c r="AM354" i="9" s="1"/>
  <c r="X355" i="9"/>
  <c r="AM355" i="9" s="1"/>
  <c r="X356" i="9"/>
  <c r="AM356" i="9" s="1"/>
  <c r="X357" i="9"/>
  <c r="AM357" i="9" s="1"/>
  <c r="X358" i="9"/>
  <c r="AM358" i="9" s="1"/>
  <c r="X359" i="9"/>
  <c r="AM359" i="9" s="1"/>
  <c r="X360" i="9"/>
  <c r="AM360" i="9" s="1"/>
  <c r="X361" i="9"/>
  <c r="AM361" i="9" s="1"/>
  <c r="X362" i="9"/>
  <c r="AM362" i="9" s="1"/>
  <c r="X363" i="9"/>
  <c r="AM363" i="9" s="1"/>
  <c r="X364" i="9"/>
  <c r="AM364" i="9" s="1"/>
  <c r="X365" i="9"/>
  <c r="AM365" i="9" s="1"/>
  <c r="X366" i="9"/>
  <c r="AM366" i="9" s="1"/>
  <c r="X367" i="9"/>
  <c r="AM367" i="9" s="1"/>
  <c r="X368" i="9"/>
  <c r="AM368" i="9" s="1"/>
  <c r="X369" i="9"/>
  <c r="AM369" i="9" s="1"/>
  <c r="X370" i="9"/>
  <c r="AM370" i="9" s="1"/>
  <c r="X371" i="9"/>
  <c r="AM371" i="9" s="1"/>
  <c r="X372" i="9"/>
  <c r="AM372" i="9" s="1"/>
  <c r="X373" i="9"/>
  <c r="AM373" i="9" s="1"/>
  <c r="X374" i="9"/>
  <c r="AM374" i="9" s="1"/>
  <c r="X375" i="9"/>
  <c r="AM375" i="9" s="1"/>
  <c r="X376" i="9"/>
  <c r="AM376" i="9" s="1"/>
  <c r="X377" i="9"/>
  <c r="AM377" i="9" s="1"/>
  <c r="X378" i="9"/>
  <c r="AM378" i="9" s="1"/>
  <c r="X379" i="9"/>
  <c r="AM379" i="9" s="1"/>
  <c r="X380" i="9"/>
  <c r="AM380" i="9" s="1"/>
  <c r="X381" i="9"/>
  <c r="AM381" i="9" s="1"/>
  <c r="X382" i="9"/>
  <c r="AM382" i="9" s="1"/>
  <c r="X383" i="9"/>
  <c r="AM383" i="9" s="1"/>
  <c r="X384" i="9"/>
  <c r="AM384" i="9" s="1"/>
  <c r="X385" i="9"/>
  <c r="AM385" i="9" s="1"/>
  <c r="X386" i="9"/>
  <c r="AM386" i="9" s="1"/>
  <c r="X387" i="9"/>
  <c r="AM387" i="9" s="1"/>
  <c r="X388" i="9"/>
  <c r="AM388" i="9" s="1"/>
  <c r="X389" i="9"/>
  <c r="AM389" i="9" s="1"/>
  <c r="X390" i="9"/>
  <c r="AM390" i="9" s="1"/>
  <c r="X391" i="9"/>
  <c r="AM391" i="9" s="1"/>
  <c r="X392" i="9"/>
  <c r="AM392" i="9" s="1"/>
  <c r="X393" i="9"/>
  <c r="AM393" i="9" s="1"/>
  <c r="X394" i="9"/>
  <c r="AM394" i="9" s="1"/>
  <c r="X395" i="9"/>
  <c r="AM395" i="9" s="1"/>
  <c r="X396" i="9"/>
  <c r="AM396" i="9" s="1"/>
  <c r="X397" i="9"/>
  <c r="AM397" i="9" s="1"/>
  <c r="X398" i="9"/>
  <c r="AM398" i="9" s="1"/>
  <c r="X399" i="9"/>
  <c r="AM399" i="9" s="1"/>
  <c r="X400" i="9"/>
  <c r="AM400" i="9" s="1"/>
  <c r="X401" i="9"/>
  <c r="AM401" i="9" s="1"/>
  <c r="X402" i="9"/>
  <c r="AM402" i="9" s="1"/>
  <c r="X403" i="9"/>
  <c r="AM403" i="9" s="1"/>
  <c r="X404" i="9"/>
  <c r="AM404" i="9" s="1"/>
  <c r="X405" i="9"/>
  <c r="AM405" i="9" s="1"/>
  <c r="X406" i="9"/>
  <c r="AM406" i="9" s="1"/>
  <c r="X407" i="9"/>
  <c r="AM407" i="9" s="1"/>
  <c r="X408" i="9"/>
  <c r="AM408" i="9" s="1"/>
  <c r="X409" i="9"/>
  <c r="AM409" i="9" s="1"/>
  <c r="X410" i="9"/>
  <c r="X411" i="9"/>
  <c r="X412" i="9"/>
  <c r="X413" i="9"/>
  <c r="X414" i="9"/>
  <c r="X415" i="9"/>
  <c r="X2" i="9"/>
  <c r="Z6" i="9"/>
  <c r="AL7" i="9"/>
  <c r="K8" i="6" s="1"/>
  <c r="AL8" i="9"/>
  <c r="K9" i="6" s="1"/>
  <c r="Z9" i="9"/>
  <c r="AL10" i="9"/>
  <c r="K11" i="6" s="1"/>
  <c r="AL11" i="9"/>
  <c r="K12" i="6" s="1"/>
  <c r="Z12" i="9"/>
  <c r="AL13" i="9"/>
  <c r="K14" i="6" s="1"/>
  <c r="Z14" i="9"/>
  <c r="AL15" i="9"/>
  <c r="K16" i="6" s="1"/>
  <c r="AL16" i="9"/>
  <c r="K17" i="6" s="1"/>
  <c r="Z17" i="9"/>
  <c r="AL18" i="9"/>
  <c r="K19" i="6" s="1"/>
  <c r="AL19" i="9"/>
  <c r="K20" i="6" s="1"/>
  <c r="Z20" i="9"/>
  <c r="AL21" i="9"/>
  <c r="Z22" i="9"/>
  <c r="AL23" i="9"/>
  <c r="AL24" i="9"/>
  <c r="Z25" i="9"/>
  <c r="AL26" i="9"/>
  <c r="AL27" i="9"/>
  <c r="Z28" i="9"/>
  <c r="AL29" i="9"/>
  <c r="Z30" i="9"/>
  <c r="AL31" i="9"/>
  <c r="AL32" i="9"/>
  <c r="Z33" i="9"/>
  <c r="AL34" i="9"/>
  <c r="AL35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F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99" i="9"/>
  <c r="AL100" i="9"/>
  <c r="AL101" i="9"/>
  <c r="AL102" i="9"/>
  <c r="AL103" i="9"/>
  <c r="AL104" i="9"/>
  <c r="AL105" i="9"/>
  <c r="AL106" i="9"/>
  <c r="AL107" i="9"/>
  <c r="AL108" i="9"/>
  <c r="AL109" i="9"/>
  <c r="AL110" i="9"/>
  <c r="AL111" i="9"/>
  <c r="AL112" i="9"/>
  <c r="AL113" i="9"/>
  <c r="AL114" i="9"/>
  <c r="AL115" i="9"/>
  <c r="AL116" i="9"/>
  <c r="AL117" i="9"/>
  <c r="AL118" i="9"/>
  <c r="AL119" i="9"/>
  <c r="AL120" i="9"/>
  <c r="AL121" i="9"/>
  <c r="AL122" i="9"/>
  <c r="AL123" i="9"/>
  <c r="AL124" i="9"/>
  <c r="AL125" i="9"/>
  <c r="AL126" i="9"/>
  <c r="AL127" i="9"/>
  <c r="AL128" i="9"/>
  <c r="AL129" i="9"/>
  <c r="AL130" i="9"/>
  <c r="AL131" i="9"/>
  <c r="AL132" i="9"/>
  <c r="AL133" i="9"/>
  <c r="AL134" i="9"/>
  <c r="AL135" i="9"/>
  <c r="AL136" i="9"/>
  <c r="AL137" i="9"/>
  <c r="AL138" i="9"/>
  <c r="AL139" i="9"/>
  <c r="AL140" i="9"/>
  <c r="AL141" i="9"/>
  <c r="AL142" i="9"/>
  <c r="AL143" i="9"/>
  <c r="AL144" i="9"/>
  <c r="AL145" i="9"/>
  <c r="AL146" i="9"/>
  <c r="AL147" i="9"/>
  <c r="AL148" i="9"/>
  <c r="AL149" i="9"/>
  <c r="AL150" i="9"/>
  <c r="AL151" i="9"/>
  <c r="AL152" i="9"/>
  <c r="AL153" i="9"/>
  <c r="AL154" i="9"/>
  <c r="AL155" i="9"/>
  <c r="AL156" i="9"/>
  <c r="AL157" i="9"/>
  <c r="AL158" i="9"/>
  <c r="AL159" i="9"/>
  <c r="AL160" i="9"/>
  <c r="AL161" i="9"/>
  <c r="AL162" i="9"/>
  <c r="AL163" i="9"/>
  <c r="AL164" i="9"/>
  <c r="AL165" i="9"/>
  <c r="AL166" i="9"/>
  <c r="AL167" i="9"/>
  <c r="AL168" i="9"/>
  <c r="AL169" i="9"/>
  <c r="AL170" i="9"/>
  <c r="AL171" i="9"/>
  <c r="AL172" i="9"/>
  <c r="AL173" i="9"/>
  <c r="AL174" i="9"/>
  <c r="AL175" i="9"/>
  <c r="AL176" i="9"/>
  <c r="AL177" i="9"/>
  <c r="AL178" i="9"/>
  <c r="AL179" i="9"/>
  <c r="AL180" i="9"/>
  <c r="AL181" i="9"/>
  <c r="AL182" i="9"/>
  <c r="AL183" i="9"/>
  <c r="AL184" i="9"/>
  <c r="AL185" i="9"/>
  <c r="AL186" i="9"/>
  <c r="AL187" i="9"/>
  <c r="AL188" i="9"/>
  <c r="AL189" i="9"/>
  <c r="AL190" i="9"/>
  <c r="AL191" i="9"/>
  <c r="AL192" i="9"/>
  <c r="AL193" i="9"/>
  <c r="AL194" i="9"/>
  <c r="AL195" i="9"/>
  <c r="AL196" i="9"/>
  <c r="AL197" i="9"/>
  <c r="AL198" i="9"/>
  <c r="AL199" i="9"/>
  <c r="AL200" i="9"/>
  <c r="AL201" i="9"/>
  <c r="AL202" i="9"/>
  <c r="AL203" i="9"/>
  <c r="AL204" i="9"/>
  <c r="AL205" i="9"/>
  <c r="AL206" i="9"/>
  <c r="AL207" i="9"/>
  <c r="AL208" i="9"/>
  <c r="AL209" i="9"/>
  <c r="AL210" i="9"/>
  <c r="AL211" i="9"/>
  <c r="AL212" i="9"/>
  <c r="AL213" i="9"/>
  <c r="AL214" i="9"/>
  <c r="AL215" i="9"/>
  <c r="AL216" i="9"/>
  <c r="AL217" i="9"/>
  <c r="AL218" i="9"/>
  <c r="AL219" i="9"/>
  <c r="AL220" i="9"/>
  <c r="AL221" i="9"/>
  <c r="AL222" i="9"/>
  <c r="AL223" i="9"/>
  <c r="AL224" i="9"/>
  <c r="AL225" i="9"/>
  <c r="AL226" i="9"/>
  <c r="AL227" i="9"/>
  <c r="AL228" i="9"/>
  <c r="AL229" i="9"/>
  <c r="AL230" i="9"/>
  <c r="AL231" i="9"/>
  <c r="AL232" i="9"/>
  <c r="AL233" i="9"/>
  <c r="AL234" i="9"/>
  <c r="AL235" i="9"/>
  <c r="AL236" i="9"/>
  <c r="AL237" i="9"/>
  <c r="AL238" i="9"/>
  <c r="AL239" i="9"/>
  <c r="AL240" i="9"/>
  <c r="AL241" i="9"/>
  <c r="AL242" i="9"/>
  <c r="AL243" i="9"/>
  <c r="AL244" i="9"/>
  <c r="AL245" i="9"/>
  <c r="AL246" i="9"/>
  <c r="AL247" i="9"/>
  <c r="AL248" i="9"/>
  <c r="AL249" i="9"/>
  <c r="AL250" i="9"/>
  <c r="AL251" i="9"/>
  <c r="AL252" i="9"/>
  <c r="AL253" i="9"/>
  <c r="AL254" i="9"/>
  <c r="AL255" i="9"/>
  <c r="AL256" i="9"/>
  <c r="AL257" i="9"/>
  <c r="AL258" i="9"/>
  <c r="AL259" i="9"/>
  <c r="AL260" i="9"/>
  <c r="AL261" i="9"/>
  <c r="AL262" i="9"/>
  <c r="AL263" i="9"/>
  <c r="AL264" i="9"/>
  <c r="AL265" i="9"/>
  <c r="AL266" i="9"/>
  <c r="AL267" i="9"/>
  <c r="AL268" i="9"/>
  <c r="AL269" i="9"/>
  <c r="AL270" i="9"/>
  <c r="AL271" i="9"/>
  <c r="AL272" i="9"/>
  <c r="AL273" i="9"/>
  <c r="AL274" i="9"/>
  <c r="AL275" i="9"/>
  <c r="AL276" i="9"/>
  <c r="AL277" i="9"/>
  <c r="AL278" i="9"/>
  <c r="AL279" i="9"/>
  <c r="AL280" i="9"/>
  <c r="AL281" i="9"/>
  <c r="AL282" i="9"/>
  <c r="AL283" i="9"/>
  <c r="AL284" i="9"/>
  <c r="AL285" i="9"/>
  <c r="AL286" i="9"/>
  <c r="AL287" i="9"/>
  <c r="AL288" i="9"/>
  <c r="AL289" i="9"/>
  <c r="AL290" i="9"/>
  <c r="AL291" i="9"/>
  <c r="AL292" i="9"/>
  <c r="AL293" i="9"/>
  <c r="AL294" i="9"/>
  <c r="AL295" i="9"/>
  <c r="AL296" i="9"/>
  <c r="AL297" i="9"/>
  <c r="AL298" i="9"/>
  <c r="AL299" i="9"/>
  <c r="AL300" i="9"/>
  <c r="AL301" i="9"/>
  <c r="AL302" i="9"/>
  <c r="AL303" i="9"/>
  <c r="AL304" i="9"/>
  <c r="AL305" i="9"/>
  <c r="AL306" i="9"/>
  <c r="AL307" i="9"/>
  <c r="AL308" i="9"/>
  <c r="AL309" i="9"/>
  <c r="AL310" i="9"/>
  <c r="AL311" i="9"/>
  <c r="AL312" i="9"/>
  <c r="AL313" i="9"/>
  <c r="AL314" i="9"/>
  <c r="AL315" i="9"/>
  <c r="AL316" i="9"/>
  <c r="AL317" i="9"/>
  <c r="AL318" i="9"/>
  <c r="AL319" i="9"/>
  <c r="AL320" i="9"/>
  <c r="AL321" i="9"/>
  <c r="AL322" i="9"/>
  <c r="AL323" i="9"/>
  <c r="AL324" i="9"/>
  <c r="AL325" i="9"/>
  <c r="AL326" i="9"/>
  <c r="AL327" i="9"/>
  <c r="AL328" i="9"/>
  <c r="AL329" i="9"/>
  <c r="AL330" i="9"/>
  <c r="AL331" i="9"/>
  <c r="AL332" i="9"/>
  <c r="W2" i="9"/>
  <c r="D4" i="9"/>
  <c r="D3" i="9"/>
  <c r="D2" i="9"/>
  <c r="AM331" i="9" l="1"/>
  <c r="AM323" i="9"/>
  <c r="AM315" i="9"/>
  <c r="AM307" i="9"/>
  <c r="AM299" i="9"/>
  <c r="AM291" i="9"/>
  <c r="AM283" i="9"/>
  <c r="AM275" i="9"/>
  <c r="AM267" i="9"/>
  <c r="AM259" i="9"/>
  <c r="AM251" i="9"/>
  <c r="AM243" i="9"/>
  <c r="AM235" i="9"/>
  <c r="AM227" i="9"/>
  <c r="AM219" i="9"/>
  <c r="AM211" i="9"/>
  <c r="AM203" i="9"/>
  <c r="AM195" i="9"/>
  <c r="AM187" i="9"/>
  <c r="AM179" i="9"/>
  <c r="AM171" i="9"/>
  <c r="AM273" i="9"/>
  <c r="AM265" i="9"/>
  <c r="AM257" i="9"/>
  <c r="AM249" i="9"/>
  <c r="AM241" i="9"/>
  <c r="AM233" i="9"/>
  <c r="AM225" i="9"/>
  <c r="AM217" i="9"/>
  <c r="AM209" i="9"/>
  <c r="AM201" i="9"/>
  <c r="AM193" i="9"/>
  <c r="AM185" i="9"/>
  <c r="AM177" i="9"/>
  <c r="AM169" i="9"/>
  <c r="AM15" i="9"/>
  <c r="J16" i="6" s="1"/>
  <c r="AM163" i="9"/>
  <c r="AM155" i="9"/>
  <c r="AM147" i="9"/>
  <c r="AM139" i="9"/>
  <c r="AM131" i="9"/>
  <c r="AM123" i="9"/>
  <c r="AM115" i="9"/>
  <c r="AM161" i="9"/>
  <c r="AM64" i="9"/>
  <c r="AM56" i="9"/>
  <c r="AM7" i="9"/>
  <c r="J8" i="6" s="1"/>
  <c r="AM107" i="9"/>
  <c r="AM99" i="9"/>
  <c r="AM91" i="9"/>
  <c r="AM83" i="9"/>
  <c r="AM75" i="9"/>
  <c r="AM67" i="9"/>
  <c r="AM59" i="9"/>
  <c r="AM50" i="9"/>
  <c r="AM42" i="9"/>
  <c r="AM18" i="9"/>
  <c r="J19" i="6" s="1"/>
  <c r="AM10" i="9"/>
  <c r="J11" i="6" s="1"/>
  <c r="AM153" i="9"/>
  <c r="AM145" i="9"/>
  <c r="AM137" i="9"/>
  <c r="AM129" i="9"/>
  <c r="AM121" i="9"/>
  <c r="AM113" i="9"/>
  <c r="AM105" i="9"/>
  <c r="AM97" i="9"/>
  <c r="AM89" i="9"/>
  <c r="AM81" i="9"/>
  <c r="AM73" i="9"/>
  <c r="AM48" i="9"/>
  <c r="AM40" i="9"/>
  <c r="AM31" i="9"/>
  <c r="AM34" i="9"/>
  <c r="AM23" i="9"/>
  <c r="AM26" i="9"/>
  <c r="AM328" i="9"/>
  <c r="AM320" i="9"/>
  <c r="AM312" i="9"/>
  <c r="AM304" i="9"/>
  <c r="AM296" i="9"/>
  <c r="AM288" i="9"/>
  <c r="AM280" i="9"/>
  <c r="AM272" i="9"/>
  <c r="AM264" i="9"/>
  <c r="AM256" i="9"/>
  <c r="AM248" i="9"/>
  <c r="AM240" i="9"/>
  <c r="AM232" i="9"/>
  <c r="AM224" i="9"/>
  <c r="AM216" i="9"/>
  <c r="AM208" i="9"/>
  <c r="AM200" i="9"/>
  <c r="AM192" i="9"/>
  <c r="AM184" i="9"/>
  <c r="AM176" i="9"/>
  <c r="AM168" i="9"/>
  <c r="AM160" i="9"/>
  <c r="AM152" i="9"/>
  <c r="AM144" i="9"/>
  <c r="AM136" i="9"/>
  <c r="AM128" i="9"/>
  <c r="AM120" i="9"/>
  <c r="AM112" i="9"/>
  <c r="AM104" i="9"/>
  <c r="AM96" i="9"/>
  <c r="AM88" i="9"/>
  <c r="AM80" i="9"/>
  <c r="AM72" i="9"/>
  <c r="AM47" i="9"/>
  <c r="AM39" i="9"/>
  <c r="AM327" i="9"/>
  <c r="AM319" i="9"/>
  <c r="AM311" i="9"/>
  <c r="AM303" i="9"/>
  <c r="AM295" i="9"/>
  <c r="AM287" i="9"/>
  <c r="AM279" i="9"/>
  <c r="AM271" i="9"/>
  <c r="AM263" i="9"/>
  <c r="AM255" i="9"/>
  <c r="AM247" i="9"/>
  <c r="AM239" i="9"/>
  <c r="AM231" i="9"/>
  <c r="AM223" i="9"/>
  <c r="AM215" i="9"/>
  <c r="AM207" i="9"/>
  <c r="AM199" i="9"/>
  <c r="AM191" i="9"/>
  <c r="AM183" i="9"/>
  <c r="AM175" i="9"/>
  <c r="AM167" i="9"/>
  <c r="AM159" i="9"/>
  <c r="AM151" i="9"/>
  <c r="AM143" i="9"/>
  <c r="AM135" i="9"/>
  <c r="AM127" i="9"/>
  <c r="AM119" i="9"/>
  <c r="AM111" i="9"/>
  <c r="AM103" i="9"/>
  <c r="AM95" i="9"/>
  <c r="AM87" i="9"/>
  <c r="AM79" i="9"/>
  <c r="AM71" i="9"/>
  <c r="AM63" i="9"/>
  <c r="AM55" i="9"/>
  <c r="AM46" i="9"/>
  <c r="AM38" i="9"/>
  <c r="AM326" i="9"/>
  <c r="AM318" i="9"/>
  <c r="AM310" i="9"/>
  <c r="AM302" i="9"/>
  <c r="AM294" i="9"/>
  <c r="AM286" i="9"/>
  <c r="AM278" i="9"/>
  <c r="AM270" i="9"/>
  <c r="AM262" i="9"/>
  <c r="AM254" i="9"/>
  <c r="AM246" i="9"/>
  <c r="AM238" i="9"/>
  <c r="AM230" i="9"/>
  <c r="AM222" i="9"/>
  <c r="AM214" i="9"/>
  <c r="AM206" i="9"/>
  <c r="AM198" i="9"/>
  <c r="AM190" i="9"/>
  <c r="AM182" i="9"/>
  <c r="AM174" i="9"/>
  <c r="AM166" i="9"/>
  <c r="AM158" i="9"/>
  <c r="AM150" i="9"/>
  <c r="AM142" i="9"/>
  <c r="AM134" i="9"/>
  <c r="AM126" i="9"/>
  <c r="AM118" i="9"/>
  <c r="AM110" i="9"/>
  <c r="AM102" i="9"/>
  <c r="AM94" i="9"/>
  <c r="AM86" i="9"/>
  <c r="AM78" i="9"/>
  <c r="AM70" i="9"/>
  <c r="AM62" i="9"/>
  <c r="AM54" i="9"/>
  <c r="AM45" i="9"/>
  <c r="AM37" i="9"/>
  <c r="AM29" i="9"/>
  <c r="AM21" i="9"/>
  <c r="AM13" i="9"/>
  <c r="J14" i="6" s="1"/>
  <c r="AM325" i="9"/>
  <c r="AM317" i="9"/>
  <c r="AM309" i="9"/>
  <c r="AM301" i="9"/>
  <c r="AM293" i="9"/>
  <c r="AM285" i="9"/>
  <c r="AM277" i="9"/>
  <c r="AM269" i="9"/>
  <c r="AM261" i="9"/>
  <c r="AM253" i="9"/>
  <c r="AM245" i="9"/>
  <c r="AM237" i="9"/>
  <c r="AM229" i="9"/>
  <c r="AM221" i="9"/>
  <c r="AM213" i="9"/>
  <c r="AM205" i="9"/>
  <c r="AM197" i="9"/>
  <c r="AM189" i="9"/>
  <c r="AM181" i="9"/>
  <c r="AM173" i="9"/>
  <c r="AM165" i="9"/>
  <c r="AM157" i="9"/>
  <c r="AM149" i="9"/>
  <c r="AM141" i="9"/>
  <c r="AM133" i="9"/>
  <c r="AM125" i="9"/>
  <c r="AM117" i="9"/>
  <c r="AM109" i="9"/>
  <c r="AM101" i="9"/>
  <c r="AM93" i="9"/>
  <c r="AM85" i="9"/>
  <c r="AM77" i="9"/>
  <c r="AM69" i="9"/>
  <c r="AM61" i="9"/>
  <c r="AM52" i="9"/>
  <c r="AM44" i="9"/>
  <c r="AM332" i="9"/>
  <c r="AM324" i="9"/>
  <c r="AM316" i="9"/>
  <c r="AM308" i="9"/>
  <c r="AM300" i="9"/>
  <c r="AM292" i="9"/>
  <c r="AM284" i="9"/>
  <c r="AM276" i="9"/>
  <c r="AM268" i="9"/>
  <c r="AM260" i="9"/>
  <c r="AM252" i="9"/>
  <c r="AM244" i="9"/>
  <c r="AM236" i="9"/>
  <c r="AM228" i="9"/>
  <c r="AM220" i="9"/>
  <c r="AM212" i="9"/>
  <c r="AM204" i="9"/>
  <c r="AM196" i="9"/>
  <c r="AM188" i="9"/>
  <c r="AM180" i="9"/>
  <c r="AM172" i="9"/>
  <c r="AM164" i="9"/>
  <c r="AM156" i="9"/>
  <c r="AM148" i="9"/>
  <c r="AM140" i="9"/>
  <c r="AM132" i="9"/>
  <c r="AM124" i="9"/>
  <c r="AM116" i="9"/>
  <c r="AM108" i="9"/>
  <c r="AM100" i="9"/>
  <c r="AM92" i="9"/>
  <c r="AM84" i="9"/>
  <c r="AM76" i="9"/>
  <c r="AM60" i="9"/>
  <c r="AM51" i="9"/>
  <c r="AM43" i="9"/>
  <c r="AM35" i="9"/>
  <c r="AM27" i="9"/>
  <c r="AM19" i="9"/>
  <c r="J20" i="6" s="1"/>
  <c r="AM11" i="9"/>
  <c r="J12" i="6" s="1"/>
  <c r="AM330" i="9"/>
  <c r="AM322" i="9"/>
  <c r="AM314" i="9"/>
  <c r="AM306" i="9"/>
  <c r="AM298" i="9"/>
  <c r="AM290" i="9"/>
  <c r="AM282" i="9"/>
  <c r="AM274" i="9"/>
  <c r="AM266" i="9"/>
  <c r="AM258" i="9"/>
  <c r="AM250" i="9"/>
  <c r="AM242" i="9"/>
  <c r="AM234" i="9"/>
  <c r="AM226" i="9"/>
  <c r="AM218" i="9"/>
  <c r="AM210" i="9"/>
  <c r="AM202" i="9"/>
  <c r="AM194" i="9"/>
  <c r="AM186" i="9"/>
  <c r="AM178" i="9"/>
  <c r="AM170" i="9"/>
  <c r="AM162" i="9"/>
  <c r="AM154" i="9"/>
  <c r="AM146" i="9"/>
  <c r="AM138" i="9"/>
  <c r="AM130" i="9"/>
  <c r="AM122" i="9"/>
  <c r="AM114" i="9"/>
  <c r="AM106" i="9"/>
  <c r="AM98" i="9"/>
  <c r="AM90" i="9"/>
  <c r="AM82" i="9"/>
  <c r="AM74" i="9"/>
  <c r="AM66" i="9"/>
  <c r="AM58" i="9"/>
  <c r="AM49" i="9"/>
  <c r="AM41" i="9"/>
  <c r="AM329" i="9"/>
  <c r="AM321" i="9"/>
  <c r="AM313" i="9"/>
  <c r="AM305" i="9"/>
  <c r="AM297" i="9"/>
  <c r="AM289" i="9"/>
  <c r="AM281" i="9"/>
  <c r="AM65" i="9"/>
  <c r="AM57" i="9"/>
  <c r="AM32" i="9"/>
  <c r="AM24" i="9"/>
  <c r="AM16" i="9"/>
  <c r="J17" i="6" s="1"/>
  <c r="AM8" i="9"/>
  <c r="J9" i="6" s="1"/>
  <c r="AL22" i="9"/>
  <c r="AL17" i="9"/>
  <c r="K18" i="6" s="1"/>
  <c r="AL28" i="9"/>
  <c r="AL30" i="9"/>
  <c r="AL25" i="9"/>
  <c r="AL6" i="9"/>
  <c r="K7" i="6" s="1"/>
  <c r="AL33" i="9"/>
  <c r="AL14" i="9"/>
  <c r="K15" i="6" s="1"/>
  <c r="AL9" i="9"/>
  <c r="K10" i="6" s="1"/>
  <c r="AL20" i="9"/>
  <c r="K21" i="6" s="1"/>
  <c r="Z34" i="9"/>
  <c r="Z26" i="9"/>
  <c r="Z18" i="9"/>
  <c r="Z10" i="9"/>
  <c r="Z8" i="9"/>
  <c r="Z31" i="9"/>
  <c r="Z23" i="9"/>
  <c r="AB15" i="9"/>
  <c r="Z15" i="9"/>
  <c r="Z7" i="9"/>
  <c r="Z27" i="9"/>
  <c r="Z24" i="9"/>
  <c r="Z11" i="9"/>
  <c r="Z32" i="9"/>
  <c r="Z29" i="9"/>
  <c r="Z21" i="9"/>
  <c r="Z13" i="9"/>
  <c r="AC2" i="9"/>
  <c r="AD2" i="9" s="1"/>
  <c r="AM2" i="9"/>
  <c r="J3" i="6" s="1"/>
  <c r="Z19" i="9"/>
  <c r="Z16" i="9"/>
  <c r="AC111" i="9"/>
  <c r="AD111" i="9" s="1"/>
  <c r="AC103" i="9"/>
  <c r="AD103" i="9" s="1"/>
  <c r="AC95" i="9"/>
  <c r="AD95" i="9" s="1"/>
  <c r="AC87" i="9"/>
  <c r="AD87" i="9" s="1"/>
  <c r="AC79" i="9"/>
  <c r="AD79" i="9" s="1"/>
  <c r="AC71" i="9"/>
  <c r="AD71" i="9" s="1"/>
  <c r="AC63" i="9"/>
  <c r="AD63" i="9" s="1"/>
  <c r="AC108" i="9"/>
  <c r="AD108" i="9" s="1"/>
  <c r="AC92" i="9"/>
  <c r="AD92" i="9" s="1"/>
  <c r="AC76" i="9"/>
  <c r="AD76" i="9" s="1"/>
  <c r="AC60" i="9"/>
  <c r="AD60" i="9" s="1"/>
  <c r="AC100" i="9"/>
  <c r="AD100" i="9" s="1"/>
  <c r="AC84" i="9"/>
  <c r="AD84" i="9" s="1"/>
  <c r="AC68" i="9"/>
  <c r="AD68" i="9" s="1"/>
  <c r="AC83" i="9"/>
  <c r="AD83" i="9" s="1"/>
  <c r="AC91" i="9"/>
  <c r="AD91" i="9" s="1"/>
  <c r="AC113" i="9"/>
  <c r="AD113" i="9" s="1"/>
  <c r="AC105" i="9"/>
  <c r="AD105" i="9" s="1"/>
  <c r="AC97" i="9"/>
  <c r="AD97" i="9" s="1"/>
  <c r="AC89" i="9"/>
  <c r="AD89" i="9" s="1"/>
  <c r="AC81" i="9"/>
  <c r="AD81" i="9" s="1"/>
  <c r="AC73" i="9"/>
  <c r="AD73" i="9" s="1"/>
  <c r="AC65" i="9"/>
  <c r="AD65" i="9" s="1"/>
  <c r="AC107" i="9"/>
  <c r="AD107" i="9" s="1"/>
  <c r="AC104" i="9"/>
  <c r="AD104" i="9" s="1"/>
  <c r="AC88" i="9"/>
  <c r="AD88" i="9" s="1"/>
  <c r="AC64" i="9"/>
  <c r="AD64" i="9" s="1"/>
  <c r="AC32" i="9"/>
  <c r="AD32" i="9" s="1"/>
  <c r="AC8" i="9"/>
  <c r="AD8" i="9" s="1"/>
  <c r="AC99" i="9"/>
  <c r="AD99" i="9" s="1"/>
  <c r="AC112" i="9"/>
  <c r="AD112" i="9" s="1"/>
  <c r="AC96" i="9"/>
  <c r="AD96" i="9" s="1"/>
  <c r="AC80" i="9"/>
  <c r="AD80" i="9" s="1"/>
  <c r="AC72" i="9"/>
  <c r="AD72" i="9" s="1"/>
  <c r="AC24" i="9"/>
  <c r="AD24" i="9" s="1"/>
  <c r="AD16" i="9"/>
  <c r="AC31" i="9"/>
  <c r="AD31" i="9" s="1"/>
  <c r="AC23" i="9"/>
  <c r="AD23" i="9" s="1"/>
  <c r="AD15" i="9"/>
  <c r="AC7" i="9"/>
  <c r="AD7" i="9" s="1"/>
  <c r="AF47" i="9"/>
  <c r="AC47" i="9"/>
  <c r="AD47" i="9" s="1"/>
  <c r="AF39" i="9"/>
  <c r="AC39" i="9"/>
  <c r="AD39" i="9" s="1"/>
  <c r="AF14" i="9"/>
  <c r="AD14" i="9"/>
  <c r="AC109" i="9"/>
  <c r="AD109" i="9" s="1"/>
  <c r="AC101" i="9"/>
  <c r="AD101" i="9" s="1"/>
  <c r="AC93" i="9"/>
  <c r="AD93" i="9" s="1"/>
  <c r="AC85" i="9"/>
  <c r="AD85" i="9" s="1"/>
  <c r="AC77" i="9"/>
  <c r="AD77" i="9" s="1"/>
  <c r="AC69" i="9"/>
  <c r="AD69" i="9" s="1"/>
  <c r="AC61" i="9"/>
  <c r="AD61" i="9" s="1"/>
  <c r="AF45" i="9"/>
  <c r="AC45" i="9"/>
  <c r="AD45" i="9" s="1"/>
  <c r="AF37" i="9"/>
  <c r="AC37" i="9"/>
  <c r="AD37" i="9" s="1"/>
  <c r="AC29" i="9"/>
  <c r="AD29" i="9" s="1"/>
  <c r="AC21" i="9"/>
  <c r="AD21" i="9" s="1"/>
  <c r="AD13" i="9"/>
  <c r="AC5" i="9"/>
  <c r="AD5" i="9" s="1"/>
  <c r="AF48" i="9"/>
  <c r="AC48" i="9"/>
  <c r="AD48" i="9" s="1"/>
  <c r="AF44" i="9"/>
  <c r="AC44" i="9"/>
  <c r="AD44" i="9" s="1"/>
  <c r="AC4" i="9"/>
  <c r="AD4" i="9" s="1"/>
  <c r="AF55" i="9"/>
  <c r="AC55" i="9"/>
  <c r="AD55" i="9" s="1"/>
  <c r="AC28" i="9"/>
  <c r="AD28" i="9" s="1"/>
  <c r="AC75" i="9"/>
  <c r="AD75" i="9" s="1"/>
  <c r="AC67" i="9"/>
  <c r="AD67" i="9" s="1"/>
  <c r="AC59" i="9"/>
  <c r="AD59" i="9" s="1"/>
  <c r="AF51" i="9"/>
  <c r="AC51" i="9"/>
  <c r="AD51" i="9" s="1"/>
  <c r="AF43" i="9"/>
  <c r="AC43" i="9"/>
  <c r="AD43" i="9" s="1"/>
  <c r="AF35" i="9"/>
  <c r="AC35" i="9"/>
  <c r="AD35" i="9" s="1"/>
  <c r="AC27" i="9"/>
  <c r="AD27" i="9" s="1"/>
  <c r="AD19" i="9"/>
  <c r="AD11" i="9"/>
  <c r="AC3" i="9"/>
  <c r="AD3" i="9" s="1"/>
  <c r="AF52" i="9"/>
  <c r="AC52" i="9"/>
  <c r="AD52" i="9" s="1"/>
  <c r="AF36" i="9"/>
  <c r="AC36" i="9"/>
  <c r="AD36" i="9" s="1"/>
  <c r="AC20" i="9"/>
  <c r="AD20" i="9" s="1"/>
  <c r="AD12" i="9"/>
  <c r="AC114" i="9"/>
  <c r="AD114" i="9" s="1"/>
  <c r="AC98" i="9"/>
  <c r="AD98" i="9" s="1"/>
  <c r="AC74" i="9"/>
  <c r="AD74" i="9" s="1"/>
  <c r="AF58" i="9"/>
  <c r="AC58" i="9"/>
  <c r="AD58" i="9" s="1"/>
  <c r="AF42" i="9"/>
  <c r="AC42" i="9"/>
  <c r="AD42" i="9" s="1"/>
  <c r="AF26" i="9"/>
  <c r="AC26" i="9"/>
  <c r="AD26" i="9" s="1"/>
  <c r="AF18" i="9"/>
  <c r="AD18" i="9"/>
  <c r="AF10" i="9"/>
  <c r="AC10" i="9"/>
  <c r="AD10" i="9" s="1"/>
  <c r="AC106" i="9"/>
  <c r="AD106" i="9" s="1"/>
  <c r="AC90" i="9"/>
  <c r="AD90" i="9" s="1"/>
  <c r="AC82" i="9"/>
  <c r="AD82" i="9" s="1"/>
  <c r="AC66" i="9"/>
  <c r="AD66" i="9" s="1"/>
  <c r="AF50" i="9"/>
  <c r="AC50" i="9"/>
  <c r="AD50" i="9" s="1"/>
  <c r="AF34" i="9"/>
  <c r="AC34" i="9"/>
  <c r="AD34" i="9" s="1"/>
  <c r="AF57" i="9"/>
  <c r="AC57" i="9"/>
  <c r="AD57" i="9" s="1"/>
  <c r="AF49" i="9"/>
  <c r="AC49" i="9"/>
  <c r="AD49" i="9" s="1"/>
  <c r="AF41" i="9"/>
  <c r="AC41" i="9"/>
  <c r="AD41" i="9" s="1"/>
  <c r="AF33" i="9"/>
  <c r="AC33" i="9"/>
  <c r="AD33" i="9" s="1"/>
  <c r="AF25" i="9"/>
  <c r="AC25" i="9"/>
  <c r="AD25" i="9" s="1"/>
  <c r="AF17" i="9"/>
  <c r="AD17" i="9"/>
  <c r="AF9" i="9"/>
  <c r="AC9" i="9"/>
  <c r="AD9" i="9" s="1"/>
  <c r="AF56" i="9"/>
  <c r="AC56" i="9"/>
  <c r="AD56" i="9" s="1"/>
  <c r="AF40" i="9"/>
  <c r="AC40" i="9"/>
  <c r="AD40" i="9" s="1"/>
  <c r="AC110" i="9"/>
  <c r="AD110" i="9" s="1"/>
  <c r="AC102" i="9"/>
  <c r="AD102" i="9" s="1"/>
  <c r="AC94" i="9"/>
  <c r="AD94" i="9" s="1"/>
  <c r="AC86" i="9"/>
  <c r="AD86" i="9" s="1"/>
  <c r="AC78" i="9"/>
  <c r="AD78" i="9" s="1"/>
  <c r="AC70" i="9"/>
  <c r="AD70" i="9" s="1"/>
  <c r="AC62" i="9"/>
  <c r="AD62" i="9" s="1"/>
  <c r="AF54" i="9"/>
  <c r="AC54" i="9"/>
  <c r="AD54" i="9" s="1"/>
  <c r="AF46" i="9"/>
  <c r="AC46" i="9"/>
  <c r="AD46" i="9" s="1"/>
  <c r="AF38" i="9"/>
  <c r="AC38" i="9"/>
  <c r="AD38" i="9" s="1"/>
  <c r="AF30" i="9"/>
  <c r="AC30" i="9"/>
  <c r="AD30" i="9" s="1"/>
  <c r="AF22" i="9"/>
  <c r="AC22" i="9"/>
  <c r="AD22" i="9" s="1"/>
  <c r="AF6" i="9"/>
  <c r="AC6" i="9"/>
  <c r="AD6" i="9" s="1"/>
  <c r="AF212" i="9"/>
  <c r="AC212" i="9"/>
  <c r="AD212" i="9" s="1"/>
  <c r="AC204" i="9"/>
  <c r="AD204" i="9" s="1"/>
  <c r="AF204" i="9"/>
  <c r="AF196" i="9"/>
  <c r="AC196" i="9"/>
  <c r="AD196" i="9" s="1"/>
  <c r="AF188" i="9"/>
  <c r="AC188" i="9"/>
  <c r="AD188" i="9" s="1"/>
  <c r="AC180" i="9"/>
  <c r="AD180" i="9" s="1"/>
  <c r="AF180" i="9"/>
  <c r="AC172" i="9"/>
  <c r="AD172" i="9" s="1"/>
  <c r="AF172" i="9"/>
  <c r="AF164" i="9"/>
  <c r="AC164" i="9"/>
  <c r="AD164" i="9" s="1"/>
  <c r="AF156" i="9"/>
  <c r="AC156" i="9"/>
  <c r="AD156" i="9" s="1"/>
  <c r="AF148" i="9"/>
  <c r="AC148" i="9"/>
  <c r="AD148" i="9" s="1"/>
  <c r="AC116" i="9"/>
  <c r="AD116" i="9" s="1"/>
  <c r="AF116" i="9"/>
  <c r="AF100" i="9"/>
  <c r="AC410" i="9"/>
  <c r="AD410" i="9" s="1"/>
  <c r="AC402" i="9"/>
  <c r="AD402" i="9" s="1"/>
  <c r="AC394" i="9"/>
  <c r="AD394" i="9" s="1"/>
  <c r="AC386" i="9"/>
  <c r="AD386" i="9" s="1"/>
  <c r="AC378" i="9"/>
  <c r="AD378" i="9" s="1"/>
  <c r="AC370" i="9"/>
  <c r="AD370" i="9" s="1"/>
  <c r="AC362" i="9"/>
  <c r="AD362" i="9" s="1"/>
  <c r="AC354" i="9"/>
  <c r="AD354" i="9" s="1"/>
  <c r="AC346" i="9"/>
  <c r="AD346" i="9" s="1"/>
  <c r="AC338" i="9"/>
  <c r="AD338" i="9" s="1"/>
  <c r="AF331" i="9"/>
  <c r="AC331" i="9"/>
  <c r="AD331" i="9" s="1"/>
  <c r="AF323" i="9"/>
  <c r="AC323" i="9"/>
  <c r="AD323" i="9" s="1"/>
  <c r="AF315" i="9"/>
  <c r="AC315" i="9"/>
  <c r="AD315" i="9" s="1"/>
  <c r="AF307" i="9"/>
  <c r="AC307" i="9"/>
  <c r="AD307" i="9" s="1"/>
  <c r="AF299" i="9"/>
  <c r="AC299" i="9"/>
  <c r="AD299" i="9" s="1"/>
  <c r="AF291" i="9"/>
  <c r="AC291" i="9"/>
  <c r="AD291" i="9" s="1"/>
  <c r="AF283" i="9"/>
  <c r="AC283" i="9"/>
  <c r="AD283" i="9" s="1"/>
  <c r="AF275" i="9"/>
  <c r="AC275" i="9"/>
  <c r="AD275" i="9" s="1"/>
  <c r="AF267" i="9"/>
  <c r="AC267" i="9"/>
  <c r="AD267" i="9" s="1"/>
  <c r="AF259" i="9"/>
  <c r="AC259" i="9"/>
  <c r="AD259" i="9" s="1"/>
  <c r="AF251" i="9"/>
  <c r="AC251" i="9"/>
  <c r="AD251" i="9" s="1"/>
  <c r="AF243" i="9"/>
  <c r="AC243" i="9"/>
  <c r="AD243" i="9" s="1"/>
  <c r="AF235" i="9"/>
  <c r="AC235" i="9"/>
  <c r="AD235" i="9" s="1"/>
  <c r="AF227" i="9"/>
  <c r="AC227" i="9"/>
  <c r="AD227" i="9" s="1"/>
  <c r="AF219" i="9"/>
  <c r="AC219" i="9"/>
  <c r="AD219" i="9" s="1"/>
  <c r="AF211" i="9"/>
  <c r="AC211" i="9"/>
  <c r="AD211" i="9" s="1"/>
  <c r="AF203" i="9"/>
  <c r="AC203" i="9"/>
  <c r="AD203" i="9" s="1"/>
  <c r="AF195" i="9"/>
  <c r="AC195" i="9"/>
  <c r="AD195" i="9" s="1"/>
  <c r="AF187" i="9"/>
  <c r="AC187" i="9"/>
  <c r="AD187" i="9" s="1"/>
  <c r="AF179" i="9"/>
  <c r="AC179" i="9"/>
  <c r="AD179" i="9" s="1"/>
  <c r="AF171" i="9"/>
  <c r="AC171" i="9"/>
  <c r="AD171" i="9" s="1"/>
  <c r="AF163" i="9"/>
  <c r="AC163" i="9"/>
  <c r="AD163" i="9" s="1"/>
  <c r="AF155" i="9"/>
  <c r="AC155" i="9"/>
  <c r="AD155" i="9" s="1"/>
  <c r="AF147" i="9"/>
  <c r="AC147" i="9"/>
  <c r="AD147" i="9" s="1"/>
  <c r="AF139" i="9"/>
  <c r="AC139" i="9"/>
  <c r="AD139" i="9" s="1"/>
  <c r="AF131" i="9"/>
  <c r="AC131" i="9"/>
  <c r="AD131" i="9" s="1"/>
  <c r="AF123" i="9"/>
  <c r="AC123" i="9"/>
  <c r="AD123" i="9" s="1"/>
  <c r="AF115" i="9"/>
  <c r="AC115" i="9"/>
  <c r="AD115" i="9" s="1"/>
  <c r="AF107" i="9"/>
  <c r="AF99" i="9"/>
  <c r="AC409" i="9"/>
  <c r="AD409" i="9" s="1"/>
  <c r="AC401" i="9"/>
  <c r="AD401" i="9" s="1"/>
  <c r="AC393" i="9"/>
  <c r="AD393" i="9" s="1"/>
  <c r="AC385" i="9"/>
  <c r="AD385" i="9" s="1"/>
  <c r="AC377" i="9"/>
  <c r="AD377" i="9" s="1"/>
  <c r="AC369" i="9"/>
  <c r="AD369" i="9" s="1"/>
  <c r="AC361" i="9"/>
  <c r="AD361" i="9" s="1"/>
  <c r="AC353" i="9"/>
  <c r="AD353" i="9" s="1"/>
  <c r="AC345" i="9"/>
  <c r="AD345" i="9" s="1"/>
  <c r="AC337" i="9"/>
  <c r="AD337" i="9" s="1"/>
  <c r="AF332" i="9"/>
  <c r="AC332" i="9"/>
  <c r="AD332" i="9" s="1"/>
  <c r="AF292" i="9"/>
  <c r="AC292" i="9"/>
  <c r="AD292" i="9" s="1"/>
  <c r="AF236" i="9"/>
  <c r="AC236" i="9"/>
  <c r="AD236" i="9" s="1"/>
  <c r="AF108" i="9"/>
  <c r="AF330" i="9"/>
  <c r="AC330" i="9"/>
  <c r="AD330" i="9" s="1"/>
  <c r="AF298" i="9"/>
  <c r="AC298" i="9"/>
  <c r="AD298" i="9" s="1"/>
  <c r="AF266" i="9"/>
  <c r="AC266" i="9"/>
  <c r="AD266" i="9" s="1"/>
  <c r="AF234" i="9"/>
  <c r="AC234" i="9"/>
  <c r="AD234" i="9" s="1"/>
  <c r="AF210" i="9"/>
  <c r="AC210" i="9"/>
  <c r="AD210" i="9" s="1"/>
  <c r="AF178" i="9"/>
  <c r="AC178" i="9"/>
  <c r="AD178" i="9" s="1"/>
  <c r="AF138" i="9"/>
  <c r="AC138" i="9"/>
  <c r="AD138" i="9" s="1"/>
  <c r="AF98" i="9"/>
  <c r="AC408" i="9"/>
  <c r="AD408" i="9" s="1"/>
  <c r="AC376" i="9"/>
  <c r="AD376" i="9" s="1"/>
  <c r="AC344" i="9"/>
  <c r="AD344" i="9" s="1"/>
  <c r="AF329" i="9"/>
  <c r="AC329" i="9"/>
  <c r="AD329" i="9" s="1"/>
  <c r="AF321" i="9"/>
  <c r="AC321" i="9"/>
  <c r="AD321" i="9" s="1"/>
  <c r="AF313" i="9"/>
  <c r="AC313" i="9"/>
  <c r="AD313" i="9" s="1"/>
  <c r="AF305" i="9"/>
  <c r="AC305" i="9"/>
  <c r="AD305" i="9" s="1"/>
  <c r="AF297" i="9"/>
  <c r="AC297" i="9"/>
  <c r="AD297" i="9" s="1"/>
  <c r="AF289" i="9"/>
  <c r="AC289" i="9"/>
  <c r="AD289" i="9" s="1"/>
  <c r="AF281" i="9"/>
  <c r="AC281" i="9"/>
  <c r="AD281" i="9" s="1"/>
  <c r="AF273" i="9"/>
  <c r="AC273" i="9"/>
  <c r="AD273" i="9" s="1"/>
  <c r="AF265" i="9"/>
  <c r="AC265" i="9"/>
  <c r="AD265" i="9" s="1"/>
  <c r="AF257" i="9"/>
  <c r="AC257" i="9"/>
  <c r="AD257" i="9" s="1"/>
  <c r="AF249" i="9"/>
  <c r="AC249" i="9"/>
  <c r="AD249" i="9" s="1"/>
  <c r="AF241" i="9"/>
  <c r="AC241" i="9"/>
  <c r="AD241" i="9" s="1"/>
  <c r="AF233" i="9"/>
  <c r="AC233" i="9"/>
  <c r="AD233" i="9" s="1"/>
  <c r="AF225" i="9"/>
  <c r="AC225" i="9"/>
  <c r="AD225" i="9" s="1"/>
  <c r="AF217" i="9"/>
  <c r="AC217" i="9"/>
  <c r="AD217" i="9" s="1"/>
  <c r="AF209" i="9"/>
  <c r="AC209" i="9"/>
  <c r="AD209" i="9" s="1"/>
  <c r="AF201" i="9"/>
  <c r="AC201" i="9"/>
  <c r="AD201" i="9" s="1"/>
  <c r="AF193" i="9"/>
  <c r="AC193" i="9"/>
  <c r="AD193" i="9" s="1"/>
  <c r="AF185" i="9"/>
  <c r="AC185" i="9"/>
  <c r="AD185" i="9" s="1"/>
  <c r="AF177" i="9"/>
  <c r="AC177" i="9"/>
  <c r="AD177" i="9" s="1"/>
  <c r="AF169" i="9"/>
  <c r="AC169" i="9"/>
  <c r="AD169" i="9" s="1"/>
  <c r="AF161" i="9"/>
  <c r="AC161" i="9"/>
  <c r="AD161" i="9" s="1"/>
  <c r="AF153" i="9"/>
  <c r="AC153" i="9"/>
  <c r="AD153" i="9" s="1"/>
  <c r="AF145" i="9"/>
  <c r="AC145" i="9"/>
  <c r="AD145" i="9" s="1"/>
  <c r="AF137" i="9"/>
  <c r="AC137" i="9"/>
  <c r="AD137" i="9" s="1"/>
  <c r="AF129" i="9"/>
  <c r="AC129" i="9"/>
  <c r="AD129" i="9" s="1"/>
  <c r="AF121" i="9"/>
  <c r="AC121" i="9"/>
  <c r="AD121" i="9" s="1"/>
  <c r="AF113" i="9"/>
  <c r="AF105" i="9"/>
  <c r="AF97" i="9"/>
  <c r="AC407" i="9"/>
  <c r="AD407" i="9" s="1"/>
  <c r="AC399" i="9"/>
  <c r="AD399" i="9" s="1"/>
  <c r="AC391" i="9"/>
  <c r="AD391" i="9" s="1"/>
  <c r="AC383" i="9"/>
  <c r="AD383" i="9" s="1"/>
  <c r="AC375" i="9"/>
  <c r="AD375" i="9" s="1"/>
  <c r="AC367" i="9"/>
  <c r="AD367" i="9" s="1"/>
  <c r="AC359" i="9"/>
  <c r="AD359" i="9" s="1"/>
  <c r="AC351" i="9"/>
  <c r="AD351" i="9" s="1"/>
  <c r="AC343" i="9"/>
  <c r="AD343" i="9" s="1"/>
  <c r="AC335" i="9"/>
  <c r="AD335" i="9" s="1"/>
  <c r="AF308" i="9"/>
  <c r="AC308" i="9"/>
  <c r="AD308" i="9" s="1"/>
  <c r="AF284" i="9"/>
  <c r="AC284" i="9"/>
  <c r="AD284" i="9" s="1"/>
  <c r="AC268" i="9"/>
  <c r="AD268" i="9" s="1"/>
  <c r="AF268" i="9"/>
  <c r="AF260" i="9"/>
  <c r="AC260" i="9"/>
  <c r="AD260" i="9" s="1"/>
  <c r="AF228" i="9"/>
  <c r="AC228" i="9"/>
  <c r="AD228" i="9" s="1"/>
  <c r="AF220" i="9"/>
  <c r="AC220" i="9"/>
  <c r="AD220" i="9" s="1"/>
  <c r="AF124" i="9"/>
  <c r="AC124" i="9"/>
  <c r="AD124" i="9" s="1"/>
  <c r="AF322" i="9"/>
  <c r="AC322" i="9"/>
  <c r="AD322" i="9" s="1"/>
  <c r="AF290" i="9"/>
  <c r="AC290" i="9"/>
  <c r="AD290" i="9" s="1"/>
  <c r="AF258" i="9"/>
  <c r="AC258" i="9"/>
  <c r="AD258" i="9" s="1"/>
  <c r="AF226" i="9"/>
  <c r="AC226" i="9"/>
  <c r="AD226" i="9" s="1"/>
  <c r="AF170" i="9"/>
  <c r="AC170" i="9"/>
  <c r="AD170" i="9" s="1"/>
  <c r="AF154" i="9"/>
  <c r="AC154" i="9"/>
  <c r="AD154" i="9" s="1"/>
  <c r="AF122" i="9"/>
  <c r="AC122" i="9"/>
  <c r="AD122" i="9" s="1"/>
  <c r="AC400" i="9"/>
  <c r="AD400" i="9" s="1"/>
  <c r="AC368" i="9"/>
  <c r="AD368" i="9" s="1"/>
  <c r="AC352" i="9"/>
  <c r="AD352" i="9" s="1"/>
  <c r="AF328" i="9"/>
  <c r="AC328" i="9"/>
  <c r="AD328" i="9" s="1"/>
  <c r="AF320" i="9"/>
  <c r="AC320" i="9"/>
  <c r="AD320" i="9" s="1"/>
  <c r="AF312" i="9"/>
  <c r="AC312" i="9"/>
  <c r="AD312" i="9" s="1"/>
  <c r="AF304" i="9"/>
  <c r="AC304" i="9"/>
  <c r="AD304" i="9" s="1"/>
  <c r="AF296" i="9"/>
  <c r="AC296" i="9"/>
  <c r="AD296" i="9" s="1"/>
  <c r="AF288" i="9"/>
  <c r="AC288" i="9"/>
  <c r="AD288" i="9" s="1"/>
  <c r="AF280" i="9"/>
  <c r="AC280" i="9"/>
  <c r="AD280" i="9" s="1"/>
  <c r="AF272" i="9"/>
  <c r="AC272" i="9"/>
  <c r="AD272" i="9" s="1"/>
  <c r="AF264" i="9"/>
  <c r="AC264" i="9"/>
  <c r="AD264" i="9" s="1"/>
  <c r="AC256" i="9"/>
  <c r="AD256" i="9" s="1"/>
  <c r="AF256" i="9"/>
  <c r="AF248" i="9"/>
  <c r="AC248" i="9"/>
  <c r="AD248" i="9" s="1"/>
  <c r="AF240" i="9"/>
  <c r="AC240" i="9"/>
  <c r="AD240" i="9" s="1"/>
  <c r="AF232" i="9"/>
  <c r="AC232" i="9"/>
  <c r="AD232" i="9" s="1"/>
  <c r="AC224" i="9"/>
  <c r="AD224" i="9" s="1"/>
  <c r="AF224" i="9"/>
  <c r="AC216" i="9"/>
  <c r="AD216" i="9" s="1"/>
  <c r="AF216" i="9"/>
  <c r="AF208" i="9"/>
  <c r="AC208" i="9"/>
  <c r="AD208" i="9" s="1"/>
  <c r="AC200" i="9"/>
  <c r="AD200" i="9" s="1"/>
  <c r="AF200" i="9"/>
  <c r="AC192" i="9"/>
  <c r="AD192" i="9" s="1"/>
  <c r="AF192" i="9"/>
  <c r="AF184" i="9"/>
  <c r="AC184" i="9"/>
  <c r="AD184" i="9" s="1"/>
  <c r="AC176" i="9"/>
  <c r="AD176" i="9" s="1"/>
  <c r="AF176" i="9"/>
  <c r="AC168" i="9"/>
  <c r="AD168" i="9" s="1"/>
  <c r="AF168" i="9"/>
  <c r="AC160" i="9"/>
  <c r="AD160" i="9" s="1"/>
  <c r="AF160" i="9"/>
  <c r="AC152" i="9"/>
  <c r="AD152" i="9" s="1"/>
  <c r="AF152" i="9"/>
  <c r="AF144" i="9"/>
  <c r="AC144" i="9"/>
  <c r="AD144" i="9" s="1"/>
  <c r="AC136" i="9"/>
  <c r="AD136" i="9" s="1"/>
  <c r="AF136" i="9"/>
  <c r="AC128" i="9"/>
  <c r="AD128" i="9" s="1"/>
  <c r="AF128" i="9"/>
  <c r="AF120" i="9"/>
  <c r="AC120" i="9"/>
  <c r="AD120" i="9" s="1"/>
  <c r="AF112" i="9"/>
  <c r="AF104" i="9"/>
  <c r="AC414" i="9"/>
  <c r="AD414" i="9" s="1"/>
  <c r="AC406" i="9"/>
  <c r="AD406" i="9" s="1"/>
  <c r="AC398" i="9"/>
  <c r="AD398" i="9" s="1"/>
  <c r="AC390" i="9"/>
  <c r="AD390" i="9" s="1"/>
  <c r="AC382" i="9"/>
  <c r="AD382" i="9" s="1"/>
  <c r="AC374" i="9"/>
  <c r="AD374" i="9" s="1"/>
  <c r="AC366" i="9"/>
  <c r="AD366" i="9" s="1"/>
  <c r="AC358" i="9"/>
  <c r="AD358" i="9" s="1"/>
  <c r="AC350" i="9"/>
  <c r="AD350" i="9" s="1"/>
  <c r="AC342" i="9"/>
  <c r="AD342" i="9" s="1"/>
  <c r="AC334" i="9"/>
  <c r="AD334" i="9" s="1"/>
  <c r="AF316" i="9"/>
  <c r="AC316" i="9"/>
  <c r="AD316" i="9" s="1"/>
  <c r="AF276" i="9"/>
  <c r="AC276" i="9"/>
  <c r="AD276" i="9" s="1"/>
  <c r="AF252" i="9"/>
  <c r="AC252" i="9"/>
  <c r="AD252" i="9" s="1"/>
  <c r="AC140" i="9"/>
  <c r="AD140" i="9" s="1"/>
  <c r="AF140" i="9"/>
  <c r="AF314" i="9"/>
  <c r="AC314" i="9"/>
  <c r="AD314" i="9" s="1"/>
  <c r="AF186" i="9"/>
  <c r="AC186" i="9"/>
  <c r="AD186" i="9" s="1"/>
  <c r="AF327" i="9"/>
  <c r="AC327" i="9"/>
  <c r="AD327" i="9" s="1"/>
  <c r="AF319" i="9"/>
  <c r="AC319" i="9"/>
  <c r="AD319" i="9" s="1"/>
  <c r="AC311" i="9"/>
  <c r="AD311" i="9" s="1"/>
  <c r="AF311" i="9"/>
  <c r="AF303" i="9"/>
  <c r="AC303" i="9"/>
  <c r="AD303" i="9" s="1"/>
  <c r="AF295" i="9"/>
  <c r="AC295" i="9"/>
  <c r="AD295" i="9" s="1"/>
  <c r="AF287" i="9"/>
  <c r="AC287" i="9"/>
  <c r="AD287" i="9" s="1"/>
  <c r="AF279" i="9"/>
  <c r="AC279" i="9"/>
  <c r="AD279" i="9" s="1"/>
  <c r="AF271" i="9"/>
  <c r="AC271" i="9"/>
  <c r="AD271" i="9" s="1"/>
  <c r="AF263" i="9"/>
  <c r="AC263" i="9"/>
  <c r="AD263" i="9" s="1"/>
  <c r="AF255" i="9"/>
  <c r="AC255" i="9"/>
  <c r="AD255" i="9" s="1"/>
  <c r="AC247" i="9"/>
  <c r="AD247" i="9" s="1"/>
  <c r="AF247" i="9"/>
  <c r="AC239" i="9"/>
  <c r="AD239" i="9" s="1"/>
  <c r="AF239" i="9"/>
  <c r="AC231" i="9"/>
  <c r="AD231" i="9" s="1"/>
  <c r="AF231" i="9"/>
  <c r="AC223" i="9"/>
  <c r="AD223" i="9" s="1"/>
  <c r="AF223" i="9"/>
  <c r="AC215" i="9"/>
  <c r="AD215" i="9" s="1"/>
  <c r="AF215" i="9"/>
  <c r="AF207" i="9"/>
  <c r="AC207" i="9"/>
  <c r="AD207" i="9" s="1"/>
  <c r="AC199" i="9"/>
  <c r="AD199" i="9" s="1"/>
  <c r="AF199" i="9"/>
  <c r="AC191" i="9"/>
  <c r="AD191" i="9" s="1"/>
  <c r="AF191" i="9"/>
  <c r="AC183" i="9"/>
  <c r="AD183" i="9" s="1"/>
  <c r="AF183" i="9"/>
  <c r="AC175" i="9"/>
  <c r="AD175" i="9" s="1"/>
  <c r="AF175" i="9"/>
  <c r="AC167" i="9"/>
  <c r="AD167" i="9" s="1"/>
  <c r="AF167" i="9"/>
  <c r="AC159" i="9"/>
  <c r="AD159" i="9" s="1"/>
  <c r="AF159" i="9"/>
  <c r="AC151" i="9"/>
  <c r="AD151" i="9" s="1"/>
  <c r="AF151" i="9"/>
  <c r="AF143" i="9"/>
  <c r="AC143" i="9"/>
  <c r="AD143" i="9" s="1"/>
  <c r="AC135" i="9"/>
  <c r="AD135" i="9" s="1"/>
  <c r="AF135" i="9"/>
  <c r="AC127" i="9"/>
  <c r="AD127" i="9" s="1"/>
  <c r="AF127" i="9"/>
  <c r="AC119" i="9"/>
  <c r="AD119" i="9" s="1"/>
  <c r="AF119" i="9"/>
  <c r="AF111" i="9"/>
  <c r="AF103" i="9"/>
  <c r="AC413" i="9"/>
  <c r="AD413" i="9" s="1"/>
  <c r="AC405" i="9"/>
  <c r="AD405" i="9" s="1"/>
  <c r="AC397" i="9"/>
  <c r="AD397" i="9" s="1"/>
  <c r="AC389" i="9"/>
  <c r="AD389" i="9" s="1"/>
  <c r="AC381" i="9"/>
  <c r="AD381" i="9" s="1"/>
  <c r="AC373" i="9"/>
  <c r="AD373" i="9" s="1"/>
  <c r="AC365" i="9"/>
  <c r="AD365" i="9" s="1"/>
  <c r="AC357" i="9"/>
  <c r="AD357" i="9" s="1"/>
  <c r="AC349" i="9"/>
  <c r="AD349" i="9" s="1"/>
  <c r="AC341" i="9"/>
  <c r="AD341" i="9" s="1"/>
  <c r="AC333" i="9"/>
  <c r="AD333" i="9" s="1"/>
  <c r="AF324" i="9"/>
  <c r="AC324" i="9"/>
  <c r="AD324" i="9" s="1"/>
  <c r="AF300" i="9"/>
  <c r="AC300" i="9"/>
  <c r="AD300" i="9" s="1"/>
  <c r="AF244" i="9"/>
  <c r="AC244" i="9"/>
  <c r="AD244" i="9" s="1"/>
  <c r="AF132" i="9"/>
  <c r="AC132" i="9"/>
  <c r="AD132" i="9" s="1"/>
  <c r="AF282" i="9"/>
  <c r="AC282" i="9"/>
  <c r="AD282" i="9" s="1"/>
  <c r="AF250" i="9"/>
  <c r="AC250" i="9"/>
  <c r="AD250" i="9" s="1"/>
  <c r="AF202" i="9"/>
  <c r="AC202" i="9"/>
  <c r="AD202" i="9" s="1"/>
  <c r="AF162" i="9"/>
  <c r="AC162" i="9"/>
  <c r="AD162" i="9" s="1"/>
  <c r="AF130" i="9"/>
  <c r="AC130" i="9"/>
  <c r="AD130" i="9" s="1"/>
  <c r="AF114" i="9"/>
  <c r="AC392" i="9"/>
  <c r="AD392" i="9" s="1"/>
  <c r="AC336" i="9"/>
  <c r="AD336" i="9" s="1"/>
  <c r="AF326" i="9"/>
  <c r="AC326" i="9"/>
  <c r="AD326" i="9" s="1"/>
  <c r="AF318" i="9"/>
  <c r="AC318" i="9"/>
  <c r="AD318" i="9" s="1"/>
  <c r="AF310" i="9"/>
  <c r="AC310" i="9"/>
  <c r="AD310" i="9" s="1"/>
  <c r="AF302" i="9"/>
  <c r="AC302" i="9"/>
  <c r="AD302" i="9" s="1"/>
  <c r="AF294" i="9"/>
  <c r="AC294" i="9"/>
  <c r="AD294" i="9" s="1"/>
  <c r="AF286" i="9"/>
  <c r="AC286" i="9"/>
  <c r="AD286" i="9" s="1"/>
  <c r="AF278" i="9"/>
  <c r="AC278" i="9"/>
  <c r="AD278" i="9" s="1"/>
  <c r="AF270" i="9"/>
  <c r="AC270" i="9"/>
  <c r="AD270" i="9" s="1"/>
  <c r="AF262" i="9"/>
  <c r="AC262" i="9"/>
  <c r="AD262" i="9" s="1"/>
  <c r="AF254" i="9"/>
  <c r="AC254" i="9"/>
  <c r="AD254" i="9" s="1"/>
  <c r="AF246" i="9"/>
  <c r="AC246" i="9"/>
  <c r="AD246" i="9" s="1"/>
  <c r="AF238" i="9"/>
  <c r="AC238" i="9"/>
  <c r="AD238" i="9" s="1"/>
  <c r="AF230" i="9"/>
  <c r="AC230" i="9"/>
  <c r="AD230" i="9" s="1"/>
  <c r="AF222" i="9"/>
  <c r="AC222" i="9"/>
  <c r="AD222" i="9" s="1"/>
  <c r="AF214" i="9"/>
  <c r="AC214" i="9"/>
  <c r="AD214" i="9" s="1"/>
  <c r="AF206" i="9"/>
  <c r="AC206" i="9"/>
  <c r="AD206" i="9" s="1"/>
  <c r="AF198" i="9"/>
  <c r="AC198" i="9"/>
  <c r="AD198" i="9" s="1"/>
  <c r="AF190" i="9"/>
  <c r="AC190" i="9"/>
  <c r="AD190" i="9" s="1"/>
  <c r="AF182" i="9"/>
  <c r="AC182" i="9"/>
  <c r="AD182" i="9" s="1"/>
  <c r="AF174" i="9"/>
  <c r="AC174" i="9"/>
  <c r="AD174" i="9" s="1"/>
  <c r="AF166" i="9"/>
  <c r="AC166" i="9"/>
  <c r="AD166" i="9" s="1"/>
  <c r="AF158" i="9"/>
  <c r="AC158" i="9"/>
  <c r="AD158" i="9" s="1"/>
  <c r="AF150" i="9"/>
  <c r="AC150" i="9"/>
  <c r="AD150" i="9" s="1"/>
  <c r="AF142" i="9"/>
  <c r="AC142" i="9"/>
  <c r="AD142" i="9" s="1"/>
  <c r="AF134" i="9"/>
  <c r="AC134" i="9"/>
  <c r="AD134" i="9" s="1"/>
  <c r="AF126" i="9"/>
  <c r="AC126" i="9"/>
  <c r="AD126" i="9" s="1"/>
  <c r="AF118" i="9"/>
  <c r="AC118" i="9"/>
  <c r="AD118" i="9" s="1"/>
  <c r="AF110" i="9"/>
  <c r="AF102" i="9"/>
  <c r="AC412" i="9"/>
  <c r="AD412" i="9" s="1"/>
  <c r="AC404" i="9"/>
  <c r="AD404" i="9" s="1"/>
  <c r="AC396" i="9"/>
  <c r="AD396" i="9" s="1"/>
  <c r="AC388" i="9"/>
  <c r="AD388" i="9" s="1"/>
  <c r="AC380" i="9"/>
  <c r="AD380" i="9" s="1"/>
  <c r="AC372" i="9"/>
  <c r="AD372" i="9" s="1"/>
  <c r="AC364" i="9"/>
  <c r="AD364" i="9" s="1"/>
  <c r="AC356" i="9"/>
  <c r="AD356" i="9" s="1"/>
  <c r="AC348" i="9"/>
  <c r="AD348" i="9" s="1"/>
  <c r="AC340" i="9"/>
  <c r="AD340" i="9" s="1"/>
  <c r="AF306" i="9"/>
  <c r="AC306" i="9"/>
  <c r="AD306" i="9" s="1"/>
  <c r="AF274" i="9"/>
  <c r="AC274" i="9"/>
  <c r="AD274" i="9" s="1"/>
  <c r="AF242" i="9"/>
  <c r="AC242" i="9"/>
  <c r="AD242" i="9" s="1"/>
  <c r="AF218" i="9"/>
  <c r="AC218" i="9"/>
  <c r="AD218" i="9" s="1"/>
  <c r="AF194" i="9"/>
  <c r="AC194" i="9"/>
  <c r="AD194" i="9" s="1"/>
  <c r="AF146" i="9"/>
  <c r="AC146" i="9"/>
  <c r="AD146" i="9" s="1"/>
  <c r="AF106" i="9"/>
  <c r="AC384" i="9"/>
  <c r="AD384" i="9" s="1"/>
  <c r="AC360" i="9"/>
  <c r="AD360" i="9" s="1"/>
  <c r="AF325" i="9"/>
  <c r="AC325" i="9"/>
  <c r="AD325" i="9" s="1"/>
  <c r="AF317" i="9"/>
  <c r="AC317" i="9"/>
  <c r="AD317" i="9" s="1"/>
  <c r="AF309" i="9"/>
  <c r="AC309" i="9"/>
  <c r="AD309" i="9" s="1"/>
  <c r="AF301" i="9"/>
  <c r="AC301" i="9"/>
  <c r="AD301" i="9" s="1"/>
  <c r="AF293" i="9"/>
  <c r="AC293" i="9"/>
  <c r="AD293" i="9" s="1"/>
  <c r="AF285" i="9"/>
  <c r="AC285" i="9"/>
  <c r="AD285" i="9" s="1"/>
  <c r="AF277" i="9"/>
  <c r="AC277" i="9"/>
  <c r="AD277" i="9" s="1"/>
  <c r="AF269" i="9"/>
  <c r="AC269" i="9"/>
  <c r="AD269" i="9" s="1"/>
  <c r="AF261" i="9"/>
  <c r="AC261" i="9"/>
  <c r="AD261" i="9" s="1"/>
  <c r="AF253" i="9"/>
  <c r="AC253" i="9"/>
  <c r="AD253" i="9" s="1"/>
  <c r="AF245" i="9"/>
  <c r="AC245" i="9"/>
  <c r="AD245" i="9" s="1"/>
  <c r="AF237" i="9"/>
  <c r="AC237" i="9"/>
  <c r="AD237" i="9" s="1"/>
  <c r="AF229" i="9"/>
  <c r="AC229" i="9"/>
  <c r="AD229" i="9" s="1"/>
  <c r="AF221" i="9"/>
  <c r="AC221" i="9"/>
  <c r="AD221" i="9" s="1"/>
  <c r="AF213" i="9"/>
  <c r="AC213" i="9"/>
  <c r="AD213" i="9" s="1"/>
  <c r="AF205" i="9"/>
  <c r="AC205" i="9"/>
  <c r="AD205" i="9" s="1"/>
  <c r="AF197" i="9"/>
  <c r="AC197" i="9"/>
  <c r="AD197" i="9" s="1"/>
  <c r="AF189" i="9"/>
  <c r="AC189" i="9"/>
  <c r="AD189" i="9" s="1"/>
  <c r="AF181" i="9"/>
  <c r="AC181" i="9"/>
  <c r="AD181" i="9" s="1"/>
  <c r="AF173" i="9"/>
  <c r="AC173" i="9"/>
  <c r="AD173" i="9" s="1"/>
  <c r="AF165" i="9"/>
  <c r="AC165" i="9"/>
  <c r="AD165" i="9" s="1"/>
  <c r="AF157" i="9"/>
  <c r="AC157" i="9"/>
  <c r="AD157" i="9" s="1"/>
  <c r="AF149" i="9"/>
  <c r="AC149" i="9"/>
  <c r="AD149" i="9" s="1"/>
  <c r="AF141" i="9"/>
  <c r="AC141" i="9"/>
  <c r="AD141" i="9" s="1"/>
  <c r="AF133" i="9"/>
  <c r="AC133" i="9"/>
  <c r="AD133" i="9" s="1"/>
  <c r="AF125" i="9"/>
  <c r="AC125" i="9"/>
  <c r="AD125" i="9" s="1"/>
  <c r="AF117" i="9"/>
  <c r="AC117" i="9"/>
  <c r="AD117" i="9" s="1"/>
  <c r="AF109" i="9"/>
  <c r="AF101" i="9"/>
  <c r="AC411" i="9"/>
  <c r="AD411" i="9" s="1"/>
  <c r="AC403" i="9"/>
  <c r="AD403" i="9" s="1"/>
  <c r="AC395" i="9"/>
  <c r="AD395" i="9" s="1"/>
  <c r="AC387" i="9"/>
  <c r="AD387" i="9" s="1"/>
  <c r="AC379" i="9"/>
  <c r="AD379" i="9" s="1"/>
  <c r="AC371" i="9"/>
  <c r="AD371" i="9" s="1"/>
  <c r="AC363" i="9"/>
  <c r="AD363" i="9" s="1"/>
  <c r="AC355" i="9"/>
  <c r="AD355" i="9" s="1"/>
  <c r="AC347" i="9"/>
  <c r="AD347" i="9" s="1"/>
  <c r="AC339" i="9"/>
  <c r="AD339" i="9" s="1"/>
  <c r="I308" i="6"/>
  <c r="I307" i="6"/>
  <c r="AF90" i="9"/>
  <c r="AF82" i="9"/>
  <c r="AF74" i="9"/>
  <c r="AF66" i="9"/>
  <c r="AF89" i="9"/>
  <c r="AF81" i="9"/>
  <c r="AF73" i="9"/>
  <c r="AF65" i="9"/>
  <c r="AF96" i="9"/>
  <c r="AF88" i="9"/>
  <c r="AF80" i="9"/>
  <c r="AF72" i="9"/>
  <c r="AF64" i="9"/>
  <c r="AF91" i="9"/>
  <c r="AF75" i="9"/>
  <c r="AF59" i="9"/>
  <c r="AF83" i="9"/>
  <c r="AF67" i="9"/>
  <c r="AF94" i="9"/>
  <c r="AF95" i="9"/>
  <c r="AF87" i="9"/>
  <c r="AF79" i="9"/>
  <c r="AF71" i="9"/>
  <c r="AF63" i="9"/>
  <c r="AF86" i="9"/>
  <c r="AF78" i="9"/>
  <c r="AF70" i="9"/>
  <c r="AF62" i="9"/>
  <c r="AF93" i="9"/>
  <c r="AF85" i="9"/>
  <c r="AF77" i="9"/>
  <c r="AF69" i="9"/>
  <c r="AF61" i="9"/>
  <c r="AF92" i="9"/>
  <c r="AF84" i="9"/>
  <c r="AF76" i="9"/>
  <c r="AF68" i="9"/>
  <c r="AF60" i="9"/>
  <c r="AF32" i="9"/>
  <c r="AF31" i="9"/>
  <c r="AF24" i="9"/>
  <c r="AF16" i="9"/>
  <c r="AF8" i="9"/>
  <c r="AF23" i="9"/>
  <c r="AF15" i="9"/>
  <c r="AF7" i="9"/>
  <c r="AF29" i="9"/>
  <c r="AF21" i="9"/>
  <c r="AF13" i="9"/>
  <c r="AF5" i="9"/>
  <c r="AF28" i="9"/>
  <c r="AF20" i="9"/>
  <c r="AF12" i="9"/>
  <c r="AF4" i="9"/>
  <c r="AF27" i="9"/>
  <c r="AF19" i="9"/>
  <c r="AF11" i="9"/>
  <c r="AF3" i="9"/>
  <c r="AF2" i="9"/>
  <c r="AM33" i="9" l="1"/>
  <c r="AM6" i="9"/>
  <c r="J7" i="6" s="1"/>
  <c r="AM9" i="9"/>
  <c r="J10" i="6" s="1"/>
  <c r="AM14" i="9"/>
  <c r="J15" i="6" s="1"/>
  <c r="AM17" i="9"/>
  <c r="J18" i="6" s="1"/>
  <c r="AM20" i="9"/>
  <c r="J21" i="6" s="1"/>
  <c r="AM22" i="9"/>
  <c r="AM25" i="9"/>
  <c r="AM28" i="9"/>
  <c r="AM30" i="9"/>
  <c r="J307" i="6"/>
  <c r="D26" i="2" l="1"/>
  <c r="A3" i="9" l="1"/>
  <c r="A4" i="9"/>
  <c r="D5" i="9"/>
  <c r="D6" i="9"/>
  <c r="A6" i="9" s="1"/>
  <c r="D7" i="9"/>
  <c r="A7" i="9" s="1"/>
  <c r="A8" i="9"/>
  <c r="D9" i="9"/>
  <c r="A9" i="9" s="1"/>
  <c r="D10" i="9"/>
  <c r="A10" i="9" s="1"/>
  <c r="D11" i="9"/>
  <c r="A11" i="9" s="1"/>
  <c r="D12" i="9"/>
  <c r="A12" i="9" s="1"/>
  <c r="D13" i="9"/>
  <c r="A13" i="9" s="1"/>
  <c r="D14" i="9"/>
  <c r="A14" i="9" s="1"/>
  <c r="D15" i="9"/>
  <c r="A15" i="9" s="1"/>
  <c r="D16" i="9"/>
  <c r="A16" i="9" s="1"/>
  <c r="D17" i="9"/>
  <c r="A17" i="9" s="1"/>
  <c r="D18" i="9"/>
  <c r="A18" i="9" s="1"/>
  <c r="D19" i="9"/>
  <c r="A19" i="9" s="1"/>
  <c r="D20" i="9"/>
  <c r="A20" i="9" s="1"/>
  <c r="D21" i="9"/>
  <c r="A21" i="9" s="1"/>
  <c r="D22" i="9"/>
  <c r="A22" i="9" s="1"/>
  <c r="D23" i="9"/>
  <c r="A23" i="9" s="1"/>
  <c r="D24" i="9"/>
  <c r="A24" i="9" s="1"/>
  <c r="D25" i="9"/>
  <c r="A25" i="9" s="1"/>
  <c r="D26" i="9"/>
  <c r="A26" i="9" s="1"/>
  <c r="D27" i="9"/>
  <c r="A27" i="9" s="1"/>
  <c r="D28" i="9"/>
  <c r="A28" i="9" s="1"/>
  <c r="D29" i="9"/>
  <c r="A29" i="9" s="1"/>
  <c r="D30" i="9"/>
  <c r="A30" i="9" s="1"/>
  <c r="D31" i="9"/>
  <c r="A31" i="9" s="1"/>
  <c r="D32" i="9"/>
  <c r="A32" i="9" s="1"/>
  <c r="D33" i="9"/>
  <c r="A33" i="9" s="1"/>
  <c r="D34" i="9"/>
  <c r="A34" i="9" s="1"/>
  <c r="D35" i="9"/>
  <c r="A35" i="9" s="1"/>
  <c r="D36" i="9"/>
  <c r="A36" i="9" s="1"/>
  <c r="D37" i="9"/>
  <c r="A37" i="9" s="1"/>
  <c r="D38" i="9"/>
  <c r="A38" i="9" s="1"/>
  <c r="D39" i="9"/>
  <c r="A39" i="9" s="1"/>
  <c r="D40" i="9"/>
  <c r="A40" i="9" s="1"/>
  <c r="D41" i="9"/>
  <c r="A41" i="9" s="1"/>
  <c r="D42" i="9"/>
  <c r="A42" i="9" s="1"/>
  <c r="D43" i="9"/>
  <c r="A43" i="9" s="1"/>
  <c r="D44" i="9"/>
  <c r="A44" i="9" s="1"/>
  <c r="D45" i="9"/>
  <c r="A45" i="9" s="1"/>
  <c r="D46" i="9"/>
  <c r="A46" i="9" s="1"/>
  <c r="D47" i="9"/>
  <c r="A47" i="9" s="1"/>
  <c r="D48" i="9"/>
  <c r="A48" i="9" s="1"/>
  <c r="D49" i="9"/>
  <c r="A49" i="9" s="1"/>
  <c r="D50" i="9"/>
  <c r="A50" i="9" s="1"/>
  <c r="D51" i="9"/>
  <c r="A51" i="9" s="1"/>
  <c r="D52" i="9"/>
  <c r="A52" i="9" s="1"/>
  <c r="D53" i="9"/>
  <c r="A53" i="9" s="1"/>
  <c r="D54" i="9"/>
  <c r="A54" i="9" s="1"/>
  <c r="D55" i="9"/>
  <c r="A55" i="9" s="1"/>
  <c r="D56" i="9"/>
  <c r="A56" i="9" s="1"/>
  <c r="D57" i="9"/>
  <c r="A57" i="9" s="1"/>
  <c r="D58" i="9"/>
  <c r="A58" i="9" s="1"/>
  <c r="D59" i="9"/>
  <c r="A59" i="9" s="1"/>
  <c r="D60" i="9"/>
  <c r="A60" i="9" s="1"/>
  <c r="D61" i="9"/>
  <c r="A61" i="9" s="1"/>
  <c r="D62" i="9"/>
  <c r="A62" i="9" s="1"/>
  <c r="D63" i="9"/>
  <c r="A63" i="9" s="1"/>
  <c r="D64" i="9"/>
  <c r="A64" i="9" s="1"/>
  <c r="D65" i="9"/>
  <c r="A65" i="9" s="1"/>
  <c r="D66" i="9"/>
  <c r="A66" i="9" s="1"/>
  <c r="D67" i="9"/>
  <c r="A67" i="9" s="1"/>
  <c r="D68" i="9"/>
  <c r="A68" i="9" s="1"/>
  <c r="D69" i="9"/>
  <c r="A69" i="9" s="1"/>
  <c r="D70" i="9"/>
  <c r="A70" i="9" s="1"/>
  <c r="D71" i="9"/>
  <c r="A71" i="9" s="1"/>
  <c r="D72" i="9"/>
  <c r="A72" i="9" s="1"/>
  <c r="D73" i="9"/>
  <c r="A73" i="9" s="1"/>
  <c r="D74" i="9"/>
  <c r="A74" i="9" s="1"/>
  <c r="D75" i="9"/>
  <c r="A75" i="9" s="1"/>
  <c r="D76" i="9"/>
  <c r="A76" i="9" s="1"/>
  <c r="D77" i="9"/>
  <c r="A77" i="9" s="1"/>
  <c r="D78" i="9"/>
  <c r="A78" i="9" s="1"/>
  <c r="D79" i="9"/>
  <c r="A79" i="9" s="1"/>
  <c r="D80" i="9"/>
  <c r="A80" i="9" s="1"/>
  <c r="D81" i="9"/>
  <c r="A81" i="9" s="1"/>
  <c r="D82" i="9"/>
  <c r="A82" i="9" s="1"/>
  <c r="D83" i="9"/>
  <c r="A83" i="9" s="1"/>
  <c r="D84" i="9"/>
  <c r="A84" i="9" s="1"/>
  <c r="D85" i="9"/>
  <c r="A85" i="9" s="1"/>
  <c r="D86" i="9"/>
  <c r="A86" i="9" s="1"/>
  <c r="D87" i="9"/>
  <c r="A87" i="9" s="1"/>
  <c r="D88" i="9"/>
  <c r="A88" i="9" s="1"/>
  <c r="D89" i="9"/>
  <c r="A89" i="9" s="1"/>
  <c r="D90" i="9"/>
  <c r="A90" i="9" s="1"/>
  <c r="D91" i="9"/>
  <c r="A91" i="9" s="1"/>
  <c r="D92" i="9"/>
  <c r="A92" i="9" s="1"/>
  <c r="D93" i="9"/>
  <c r="A93" i="9" s="1"/>
  <c r="D94" i="9"/>
  <c r="A94" i="9" s="1"/>
  <c r="D95" i="9"/>
  <c r="A95" i="9" s="1"/>
  <c r="D96" i="9"/>
  <c r="A96" i="9" s="1"/>
  <c r="D97" i="9"/>
  <c r="A97" i="9" s="1"/>
  <c r="D98" i="9"/>
  <c r="A98" i="9" s="1"/>
  <c r="D99" i="9"/>
  <c r="A99" i="9" s="1"/>
  <c r="D100" i="9"/>
  <c r="A100" i="9" s="1"/>
  <c r="D101" i="9"/>
  <c r="A101" i="9" s="1"/>
  <c r="D102" i="9"/>
  <c r="A102" i="9" s="1"/>
  <c r="D103" i="9"/>
  <c r="A103" i="9" s="1"/>
  <c r="D104" i="9"/>
  <c r="A104" i="9" s="1"/>
  <c r="D105" i="9"/>
  <c r="A105" i="9" s="1"/>
  <c r="D106" i="9"/>
  <c r="A106" i="9" s="1"/>
  <c r="D107" i="9"/>
  <c r="A107" i="9" s="1"/>
  <c r="D108" i="9"/>
  <c r="A108" i="9" s="1"/>
  <c r="D109" i="9"/>
  <c r="A109" i="9" s="1"/>
  <c r="D110" i="9"/>
  <c r="A110" i="9" s="1"/>
  <c r="D111" i="9"/>
  <c r="A111" i="9" s="1"/>
  <c r="D112" i="9"/>
  <c r="A112" i="9" s="1"/>
  <c r="D113" i="9"/>
  <c r="A113" i="9" s="1"/>
  <c r="D114" i="9"/>
  <c r="A114" i="9" s="1"/>
  <c r="D115" i="9"/>
  <c r="A115" i="9" s="1"/>
  <c r="D116" i="9"/>
  <c r="A116" i="9" s="1"/>
  <c r="D117" i="9"/>
  <c r="A117" i="9" s="1"/>
  <c r="D118" i="9"/>
  <c r="A118" i="9" s="1"/>
  <c r="D119" i="9"/>
  <c r="A119" i="9" s="1"/>
  <c r="D120" i="9"/>
  <c r="A120" i="9" s="1"/>
  <c r="D121" i="9"/>
  <c r="A121" i="9" s="1"/>
  <c r="D122" i="9"/>
  <c r="A122" i="9" s="1"/>
  <c r="D123" i="9"/>
  <c r="A123" i="9" s="1"/>
  <c r="D124" i="9"/>
  <c r="A124" i="9" s="1"/>
  <c r="D125" i="9"/>
  <c r="A125" i="9" s="1"/>
  <c r="D126" i="9"/>
  <c r="A126" i="9" s="1"/>
  <c r="D127" i="9"/>
  <c r="A127" i="9" s="1"/>
  <c r="D128" i="9"/>
  <c r="A128" i="9" s="1"/>
  <c r="D129" i="9"/>
  <c r="A129" i="9" s="1"/>
  <c r="D130" i="9"/>
  <c r="A130" i="9" s="1"/>
  <c r="D131" i="9"/>
  <c r="A131" i="9" s="1"/>
  <c r="D132" i="9"/>
  <c r="A132" i="9" s="1"/>
  <c r="D133" i="9"/>
  <c r="A133" i="9" s="1"/>
  <c r="D134" i="9"/>
  <c r="A134" i="9" s="1"/>
  <c r="D135" i="9"/>
  <c r="A135" i="9" s="1"/>
  <c r="D136" i="9"/>
  <c r="A136" i="9" s="1"/>
  <c r="D137" i="9"/>
  <c r="A137" i="9" s="1"/>
  <c r="D138" i="9"/>
  <c r="A138" i="9" s="1"/>
  <c r="D139" i="9"/>
  <c r="A139" i="9" s="1"/>
  <c r="D140" i="9"/>
  <c r="A140" i="9" s="1"/>
  <c r="D141" i="9"/>
  <c r="A141" i="9" s="1"/>
  <c r="D142" i="9"/>
  <c r="A142" i="9" s="1"/>
  <c r="D143" i="9"/>
  <c r="A143" i="9" s="1"/>
  <c r="D144" i="9"/>
  <c r="A144" i="9" s="1"/>
  <c r="D145" i="9"/>
  <c r="A145" i="9" s="1"/>
  <c r="D146" i="9"/>
  <c r="A146" i="9" s="1"/>
  <c r="D147" i="9"/>
  <c r="A147" i="9" s="1"/>
  <c r="D148" i="9"/>
  <c r="A148" i="9" s="1"/>
  <c r="D149" i="9"/>
  <c r="A149" i="9" s="1"/>
  <c r="D150" i="9"/>
  <c r="A150" i="9" s="1"/>
  <c r="D151" i="9"/>
  <c r="A151" i="9" s="1"/>
  <c r="D152" i="9"/>
  <c r="A152" i="9" s="1"/>
  <c r="D153" i="9"/>
  <c r="A153" i="9" s="1"/>
  <c r="D154" i="9"/>
  <c r="A154" i="9" s="1"/>
  <c r="D155" i="9"/>
  <c r="A155" i="9" s="1"/>
  <c r="D156" i="9"/>
  <c r="A156" i="9" s="1"/>
  <c r="D157" i="9"/>
  <c r="A157" i="9" s="1"/>
  <c r="D158" i="9"/>
  <c r="A158" i="9" s="1"/>
  <c r="D159" i="9"/>
  <c r="A159" i="9" s="1"/>
  <c r="D160" i="9"/>
  <c r="A160" i="9" s="1"/>
  <c r="D161" i="9"/>
  <c r="A161" i="9" s="1"/>
  <c r="D162" i="9"/>
  <c r="A162" i="9" s="1"/>
  <c r="D163" i="9"/>
  <c r="A163" i="9" s="1"/>
  <c r="D164" i="9"/>
  <c r="A164" i="9" s="1"/>
  <c r="D165" i="9"/>
  <c r="A165" i="9" s="1"/>
  <c r="D166" i="9"/>
  <c r="A166" i="9" s="1"/>
  <c r="D167" i="9"/>
  <c r="A167" i="9" s="1"/>
  <c r="D168" i="9"/>
  <c r="A168" i="9" s="1"/>
  <c r="D169" i="9"/>
  <c r="A169" i="9" s="1"/>
  <c r="D170" i="9"/>
  <c r="A170" i="9" s="1"/>
  <c r="D171" i="9"/>
  <c r="A171" i="9" s="1"/>
  <c r="D172" i="9"/>
  <c r="A172" i="9" s="1"/>
  <c r="D173" i="9"/>
  <c r="A173" i="9" s="1"/>
  <c r="D174" i="9"/>
  <c r="A174" i="9" s="1"/>
  <c r="D175" i="9"/>
  <c r="A175" i="9" s="1"/>
  <c r="D176" i="9"/>
  <c r="A176" i="9" s="1"/>
  <c r="D177" i="9"/>
  <c r="A177" i="9" s="1"/>
  <c r="D178" i="9"/>
  <c r="A178" i="9" s="1"/>
  <c r="D179" i="9"/>
  <c r="A179" i="9" s="1"/>
  <c r="D180" i="9"/>
  <c r="A180" i="9" s="1"/>
  <c r="D181" i="9"/>
  <c r="A181" i="9" s="1"/>
  <c r="D182" i="9"/>
  <c r="A182" i="9" s="1"/>
  <c r="D183" i="9"/>
  <c r="A183" i="9" s="1"/>
  <c r="D184" i="9"/>
  <c r="A184" i="9" s="1"/>
  <c r="D185" i="9"/>
  <c r="A185" i="9" s="1"/>
  <c r="D186" i="9"/>
  <c r="A186" i="9" s="1"/>
  <c r="D187" i="9"/>
  <c r="A187" i="9" s="1"/>
  <c r="D188" i="9"/>
  <c r="A188" i="9" s="1"/>
  <c r="D189" i="9"/>
  <c r="A189" i="9" s="1"/>
  <c r="D190" i="9"/>
  <c r="A190" i="9" s="1"/>
  <c r="D191" i="9"/>
  <c r="A191" i="9" s="1"/>
  <c r="D192" i="9"/>
  <c r="A192" i="9" s="1"/>
  <c r="D193" i="9"/>
  <c r="A193" i="9" s="1"/>
  <c r="D194" i="9"/>
  <c r="A194" i="9" s="1"/>
  <c r="D195" i="9"/>
  <c r="A195" i="9" s="1"/>
  <c r="D196" i="9"/>
  <c r="A196" i="9" s="1"/>
  <c r="D197" i="9"/>
  <c r="A197" i="9" s="1"/>
  <c r="D198" i="9"/>
  <c r="A198" i="9" s="1"/>
  <c r="D199" i="9"/>
  <c r="A199" i="9" s="1"/>
  <c r="D200" i="9"/>
  <c r="A200" i="9" s="1"/>
  <c r="D201" i="9"/>
  <c r="A201" i="9" s="1"/>
  <c r="D202" i="9"/>
  <c r="A202" i="9" s="1"/>
  <c r="D203" i="9"/>
  <c r="A203" i="9" s="1"/>
  <c r="D204" i="9"/>
  <c r="A204" i="9" s="1"/>
  <c r="D205" i="9"/>
  <c r="A205" i="9" s="1"/>
  <c r="D206" i="9"/>
  <c r="A206" i="9" s="1"/>
  <c r="D207" i="9"/>
  <c r="A207" i="9" s="1"/>
  <c r="D208" i="9"/>
  <c r="A208" i="9" s="1"/>
  <c r="D209" i="9"/>
  <c r="A209" i="9" s="1"/>
  <c r="D210" i="9"/>
  <c r="A210" i="9" s="1"/>
  <c r="D211" i="9"/>
  <c r="A211" i="9" s="1"/>
  <c r="D212" i="9"/>
  <c r="A212" i="9" s="1"/>
  <c r="D213" i="9"/>
  <c r="A213" i="9" s="1"/>
  <c r="D214" i="9"/>
  <c r="A214" i="9" s="1"/>
  <c r="D215" i="9"/>
  <c r="A215" i="9" s="1"/>
  <c r="D216" i="9"/>
  <c r="A216" i="9" s="1"/>
  <c r="D217" i="9"/>
  <c r="A217" i="9" s="1"/>
  <c r="D218" i="9"/>
  <c r="A218" i="9" s="1"/>
  <c r="D219" i="9"/>
  <c r="A219" i="9" s="1"/>
  <c r="D220" i="9"/>
  <c r="A220" i="9" s="1"/>
  <c r="D221" i="9"/>
  <c r="A221" i="9" s="1"/>
  <c r="D222" i="9"/>
  <c r="A222" i="9" s="1"/>
  <c r="D223" i="9"/>
  <c r="A223" i="9" s="1"/>
  <c r="D224" i="9"/>
  <c r="A224" i="9" s="1"/>
  <c r="D225" i="9"/>
  <c r="A225" i="9" s="1"/>
  <c r="D226" i="9"/>
  <c r="A226" i="9" s="1"/>
  <c r="D227" i="9"/>
  <c r="A227" i="9" s="1"/>
  <c r="D228" i="9"/>
  <c r="A228" i="9" s="1"/>
  <c r="D229" i="9"/>
  <c r="A229" i="9" s="1"/>
  <c r="D230" i="9"/>
  <c r="A230" i="9" s="1"/>
  <c r="D231" i="9"/>
  <c r="A231" i="9" s="1"/>
  <c r="D232" i="9"/>
  <c r="A232" i="9" s="1"/>
  <c r="D233" i="9"/>
  <c r="A233" i="9" s="1"/>
  <c r="D234" i="9"/>
  <c r="A234" i="9" s="1"/>
  <c r="D235" i="9"/>
  <c r="A235" i="9" s="1"/>
  <c r="D236" i="9"/>
  <c r="A236" i="9" s="1"/>
  <c r="D237" i="9"/>
  <c r="A237" i="9" s="1"/>
  <c r="D238" i="9"/>
  <c r="A238" i="9" s="1"/>
  <c r="D239" i="9"/>
  <c r="A239" i="9" s="1"/>
  <c r="D240" i="9"/>
  <c r="A240" i="9" s="1"/>
  <c r="D241" i="9"/>
  <c r="A241" i="9" s="1"/>
  <c r="D242" i="9"/>
  <c r="A242" i="9" s="1"/>
  <c r="D243" i="9"/>
  <c r="A243" i="9" s="1"/>
  <c r="D244" i="9"/>
  <c r="A244" i="9" s="1"/>
  <c r="D245" i="9"/>
  <c r="A245" i="9" s="1"/>
  <c r="D246" i="9"/>
  <c r="A246" i="9" s="1"/>
  <c r="D247" i="9"/>
  <c r="A247" i="9" s="1"/>
  <c r="D248" i="9"/>
  <c r="A248" i="9" s="1"/>
  <c r="D249" i="9"/>
  <c r="A249" i="9" s="1"/>
  <c r="D250" i="9"/>
  <c r="A250" i="9" s="1"/>
  <c r="D251" i="9"/>
  <c r="A251" i="9" s="1"/>
  <c r="D252" i="9"/>
  <c r="A252" i="9" s="1"/>
  <c r="D253" i="9"/>
  <c r="A253" i="9" s="1"/>
  <c r="D254" i="9"/>
  <c r="A254" i="9" s="1"/>
  <c r="D255" i="9"/>
  <c r="A255" i="9" s="1"/>
  <c r="D256" i="9"/>
  <c r="A256" i="9" s="1"/>
  <c r="D257" i="9"/>
  <c r="A257" i="9" s="1"/>
  <c r="D258" i="9"/>
  <c r="A258" i="9" s="1"/>
  <c r="D259" i="9"/>
  <c r="A259" i="9" s="1"/>
  <c r="D260" i="9"/>
  <c r="A260" i="9" s="1"/>
  <c r="D261" i="9"/>
  <c r="A261" i="9" s="1"/>
  <c r="D262" i="9"/>
  <c r="A262" i="9" s="1"/>
  <c r="D263" i="9"/>
  <c r="A263" i="9" s="1"/>
  <c r="D264" i="9"/>
  <c r="A264" i="9" s="1"/>
  <c r="D265" i="9"/>
  <c r="A265" i="9" s="1"/>
  <c r="D266" i="9"/>
  <c r="A266" i="9" s="1"/>
  <c r="D267" i="9"/>
  <c r="A267" i="9" s="1"/>
  <c r="D268" i="9"/>
  <c r="A268" i="9" s="1"/>
  <c r="D269" i="9"/>
  <c r="A269" i="9" s="1"/>
  <c r="D270" i="9"/>
  <c r="A270" i="9" s="1"/>
  <c r="D271" i="9"/>
  <c r="A271" i="9" s="1"/>
  <c r="D272" i="9"/>
  <c r="A272" i="9" s="1"/>
  <c r="D273" i="9"/>
  <c r="A273" i="9" s="1"/>
  <c r="D274" i="9"/>
  <c r="A274" i="9" s="1"/>
  <c r="D275" i="9"/>
  <c r="A275" i="9" s="1"/>
  <c r="D276" i="9"/>
  <c r="A276" i="9" s="1"/>
  <c r="D277" i="9"/>
  <c r="A277" i="9" s="1"/>
  <c r="D278" i="9"/>
  <c r="A278" i="9" s="1"/>
  <c r="D279" i="9"/>
  <c r="A279" i="9" s="1"/>
  <c r="D280" i="9"/>
  <c r="A280" i="9" s="1"/>
  <c r="D281" i="9"/>
  <c r="A281" i="9" s="1"/>
  <c r="D282" i="9"/>
  <c r="A282" i="9" s="1"/>
  <c r="D283" i="9"/>
  <c r="A283" i="9" s="1"/>
  <c r="D284" i="9"/>
  <c r="A284" i="9" s="1"/>
  <c r="D285" i="9"/>
  <c r="A285" i="9" s="1"/>
  <c r="D286" i="9"/>
  <c r="A286" i="9" s="1"/>
  <c r="D287" i="9"/>
  <c r="A287" i="9" s="1"/>
  <c r="D288" i="9"/>
  <c r="A288" i="9" s="1"/>
  <c r="D289" i="9"/>
  <c r="A289" i="9" s="1"/>
  <c r="D290" i="9"/>
  <c r="A290" i="9" s="1"/>
  <c r="D291" i="9"/>
  <c r="A291" i="9" s="1"/>
  <c r="D292" i="9"/>
  <c r="A292" i="9" s="1"/>
  <c r="D293" i="9"/>
  <c r="A293" i="9" s="1"/>
  <c r="D294" i="9"/>
  <c r="A294" i="9" s="1"/>
  <c r="D295" i="9"/>
  <c r="A295" i="9" s="1"/>
  <c r="D296" i="9"/>
  <c r="A296" i="9" s="1"/>
  <c r="D297" i="9"/>
  <c r="A297" i="9" s="1"/>
  <c r="D298" i="9"/>
  <c r="A298" i="9" s="1"/>
  <c r="D299" i="9"/>
  <c r="A299" i="9" s="1"/>
  <c r="D300" i="9"/>
  <c r="A300" i="9" s="1"/>
  <c r="D301" i="9"/>
  <c r="A301" i="9" s="1"/>
  <c r="D302" i="9"/>
  <c r="A302" i="9" s="1"/>
  <c r="D303" i="9"/>
  <c r="A303" i="9" s="1"/>
  <c r="D304" i="9"/>
  <c r="A304" i="9" s="1"/>
  <c r="D305" i="9"/>
  <c r="A305" i="9" s="1"/>
  <c r="D306" i="9"/>
  <c r="A306" i="9" s="1"/>
  <c r="D307" i="9"/>
  <c r="A307" i="9" s="1"/>
  <c r="D308" i="9"/>
  <c r="A308" i="9" s="1"/>
  <c r="D309" i="9"/>
  <c r="A309" i="9" s="1"/>
  <c r="D310" i="9"/>
  <c r="A310" i="9" s="1"/>
  <c r="D311" i="9"/>
  <c r="A311" i="9" s="1"/>
  <c r="D312" i="9"/>
  <c r="A312" i="9" s="1"/>
  <c r="D313" i="9"/>
  <c r="A313" i="9" s="1"/>
  <c r="D314" i="9"/>
  <c r="A314" i="9" s="1"/>
  <c r="D315" i="9"/>
  <c r="A315" i="9" s="1"/>
  <c r="D316" i="9"/>
  <c r="A316" i="9" s="1"/>
  <c r="D317" i="9"/>
  <c r="A317" i="9" s="1"/>
  <c r="D318" i="9"/>
  <c r="A318" i="9" s="1"/>
  <c r="D319" i="9"/>
  <c r="A319" i="9" s="1"/>
  <c r="D320" i="9"/>
  <c r="A320" i="9" s="1"/>
  <c r="D321" i="9"/>
  <c r="A321" i="9" s="1"/>
  <c r="D322" i="9"/>
  <c r="A322" i="9" s="1"/>
  <c r="D323" i="9"/>
  <c r="A323" i="9" s="1"/>
  <c r="D324" i="9"/>
  <c r="A324" i="9" s="1"/>
  <c r="D325" i="9"/>
  <c r="A325" i="9" s="1"/>
  <c r="D326" i="9"/>
  <c r="A326" i="9" s="1"/>
  <c r="D327" i="9"/>
  <c r="A327" i="9" s="1"/>
  <c r="A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2" i="9"/>
  <c r="J76" i="9"/>
  <c r="J84" i="9"/>
  <c r="J92" i="9"/>
  <c r="J100" i="9"/>
  <c r="J108" i="9"/>
  <c r="J116" i="9"/>
  <c r="J124" i="9"/>
  <c r="J132" i="9"/>
  <c r="J140" i="9"/>
  <c r="J148" i="9"/>
  <c r="J156" i="9"/>
  <c r="J164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J77" i="9" s="1"/>
  <c r="H78" i="9"/>
  <c r="J78" i="9" s="1"/>
  <c r="H79" i="9"/>
  <c r="J79" i="9" s="1"/>
  <c r="H80" i="9"/>
  <c r="J80" i="9" s="1"/>
  <c r="H81" i="9"/>
  <c r="J81" i="9" s="1"/>
  <c r="H82" i="9"/>
  <c r="J82" i="9" s="1"/>
  <c r="H83" i="9"/>
  <c r="J83" i="9" s="1"/>
  <c r="H84" i="9"/>
  <c r="H85" i="9"/>
  <c r="J85" i="9" s="1"/>
  <c r="H86" i="9"/>
  <c r="J86" i="9" s="1"/>
  <c r="H87" i="9"/>
  <c r="J87" i="9" s="1"/>
  <c r="H88" i="9"/>
  <c r="J88" i="9" s="1"/>
  <c r="H89" i="9"/>
  <c r="J89" i="9" s="1"/>
  <c r="H90" i="9"/>
  <c r="J90" i="9" s="1"/>
  <c r="H91" i="9"/>
  <c r="J91" i="9" s="1"/>
  <c r="H92" i="9"/>
  <c r="H93" i="9"/>
  <c r="J93" i="9" s="1"/>
  <c r="H94" i="9"/>
  <c r="J94" i="9" s="1"/>
  <c r="H95" i="9"/>
  <c r="J95" i="9" s="1"/>
  <c r="H96" i="9"/>
  <c r="J96" i="9" s="1"/>
  <c r="H97" i="9"/>
  <c r="J97" i="9" s="1"/>
  <c r="H98" i="9"/>
  <c r="J98" i="9" s="1"/>
  <c r="H99" i="9"/>
  <c r="J99" i="9" s="1"/>
  <c r="H100" i="9"/>
  <c r="H101" i="9"/>
  <c r="J101" i="9" s="1"/>
  <c r="H102" i="9"/>
  <c r="J102" i="9" s="1"/>
  <c r="H103" i="9"/>
  <c r="J103" i="9" s="1"/>
  <c r="H104" i="9"/>
  <c r="J104" i="9" s="1"/>
  <c r="H105" i="9"/>
  <c r="J105" i="9" s="1"/>
  <c r="H106" i="9"/>
  <c r="J106" i="9" s="1"/>
  <c r="H107" i="9"/>
  <c r="J107" i="9" s="1"/>
  <c r="H108" i="9"/>
  <c r="H109" i="9"/>
  <c r="J109" i="9" s="1"/>
  <c r="H110" i="9"/>
  <c r="J110" i="9" s="1"/>
  <c r="H111" i="9"/>
  <c r="J111" i="9" s="1"/>
  <c r="H112" i="9"/>
  <c r="J112" i="9" s="1"/>
  <c r="H113" i="9"/>
  <c r="J113" i="9" s="1"/>
  <c r="H114" i="9"/>
  <c r="J114" i="9" s="1"/>
  <c r="H115" i="9"/>
  <c r="J115" i="9" s="1"/>
  <c r="H116" i="9"/>
  <c r="H117" i="9"/>
  <c r="J117" i="9" s="1"/>
  <c r="H118" i="9"/>
  <c r="J118" i="9" s="1"/>
  <c r="H119" i="9"/>
  <c r="J119" i="9" s="1"/>
  <c r="H120" i="9"/>
  <c r="J120" i="9" s="1"/>
  <c r="H121" i="9"/>
  <c r="J121" i="9" s="1"/>
  <c r="H122" i="9"/>
  <c r="J122" i="9" s="1"/>
  <c r="H123" i="9"/>
  <c r="J123" i="9" s="1"/>
  <c r="H124" i="9"/>
  <c r="H125" i="9"/>
  <c r="J125" i="9" s="1"/>
  <c r="H126" i="9"/>
  <c r="J126" i="9" s="1"/>
  <c r="H127" i="9"/>
  <c r="J127" i="9" s="1"/>
  <c r="H128" i="9"/>
  <c r="J128" i="9" s="1"/>
  <c r="H129" i="9"/>
  <c r="J129" i="9" s="1"/>
  <c r="H130" i="9"/>
  <c r="J130" i="9" s="1"/>
  <c r="H131" i="9"/>
  <c r="J131" i="9" s="1"/>
  <c r="H132" i="9"/>
  <c r="H133" i="9"/>
  <c r="J133" i="9" s="1"/>
  <c r="H134" i="9"/>
  <c r="J134" i="9" s="1"/>
  <c r="H135" i="9"/>
  <c r="J135" i="9" s="1"/>
  <c r="H136" i="9"/>
  <c r="J136" i="9" s="1"/>
  <c r="H137" i="9"/>
  <c r="J137" i="9" s="1"/>
  <c r="H138" i="9"/>
  <c r="J138" i="9" s="1"/>
  <c r="H139" i="9"/>
  <c r="J139" i="9" s="1"/>
  <c r="H140" i="9"/>
  <c r="H141" i="9"/>
  <c r="J141" i="9" s="1"/>
  <c r="H142" i="9"/>
  <c r="J142" i="9" s="1"/>
  <c r="H143" i="9"/>
  <c r="J143" i="9" s="1"/>
  <c r="H144" i="9"/>
  <c r="J144" i="9" s="1"/>
  <c r="H145" i="9"/>
  <c r="J145" i="9" s="1"/>
  <c r="H146" i="9"/>
  <c r="J146" i="9" s="1"/>
  <c r="H147" i="9"/>
  <c r="J147" i="9" s="1"/>
  <c r="H148" i="9"/>
  <c r="H149" i="9"/>
  <c r="J149" i="9" s="1"/>
  <c r="H150" i="9"/>
  <c r="J150" i="9" s="1"/>
  <c r="H151" i="9"/>
  <c r="J151" i="9" s="1"/>
  <c r="H152" i="9"/>
  <c r="J152" i="9" s="1"/>
  <c r="H153" i="9"/>
  <c r="J153" i="9" s="1"/>
  <c r="H154" i="9"/>
  <c r="J154" i="9" s="1"/>
  <c r="H155" i="9"/>
  <c r="J155" i="9" s="1"/>
  <c r="H156" i="9"/>
  <c r="H157" i="9"/>
  <c r="J157" i="9" s="1"/>
  <c r="H158" i="9"/>
  <c r="J158" i="9" s="1"/>
  <c r="H159" i="9"/>
  <c r="J159" i="9" s="1"/>
  <c r="H160" i="9"/>
  <c r="J160" i="9" s="1"/>
  <c r="H161" i="9"/>
  <c r="J161" i="9" s="1"/>
  <c r="H162" i="9"/>
  <c r="J162" i="9" s="1"/>
  <c r="H163" i="9"/>
  <c r="J163" i="9" s="1"/>
  <c r="H164" i="9"/>
  <c r="H165" i="9"/>
  <c r="J165" i="9" s="1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E22" i="2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I34" i="9"/>
  <c r="I68" i="9"/>
  <c r="I100" i="9"/>
  <c r="I132" i="9"/>
  <c r="I148" i="9"/>
  <c r="I156" i="9"/>
  <c r="I170" i="9"/>
  <c r="I180" i="9"/>
  <c r="I188" i="9"/>
  <c r="I202" i="9"/>
  <c r="I212" i="9"/>
  <c r="I220" i="9"/>
  <c r="I234" i="9"/>
  <c r="I244" i="9"/>
  <c r="I252" i="9"/>
  <c r="I266" i="9"/>
  <c r="I276" i="9"/>
  <c r="I284" i="9"/>
  <c r="I298" i="9"/>
  <c r="I308" i="9"/>
  <c r="I316" i="9"/>
  <c r="I4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2" i="9"/>
  <c r="K41" i="5" l="1"/>
  <c r="K40" i="5"/>
  <c r="G26" i="2" s="1"/>
  <c r="H26" i="2" s="1"/>
  <c r="D14" i="2" s="1" a="1"/>
  <c r="D14" i="2" s="1"/>
  <c r="P290" i="9"/>
  <c r="Q290" i="9" s="1"/>
  <c r="AN290" i="9" s="1"/>
  <c r="AK290" i="9"/>
  <c r="P250" i="9"/>
  <c r="Q250" i="9" s="1"/>
  <c r="AN250" i="9" s="1"/>
  <c r="AK250" i="9"/>
  <c r="P202" i="9"/>
  <c r="Q202" i="9" s="1"/>
  <c r="AN202" i="9" s="1"/>
  <c r="AK202" i="9"/>
  <c r="P138" i="9"/>
  <c r="Q138" i="9" s="1"/>
  <c r="AN138" i="9" s="1"/>
  <c r="AK138" i="9"/>
  <c r="P326" i="9"/>
  <c r="Q326" i="9" s="1"/>
  <c r="AN326" i="9" s="1"/>
  <c r="AK326" i="9"/>
  <c r="P318" i="9"/>
  <c r="Q318" i="9" s="1"/>
  <c r="AN318" i="9" s="1"/>
  <c r="AK318" i="9"/>
  <c r="P310" i="9"/>
  <c r="Q310" i="9" s="1"/>
  <c r="AN310" i="9" s="1"/>
  <c r="AK310" i="9"/>
  <c r="P302" i="9"/>
  <c r="Q302" i="9" s="1"/>
  <c r="AN302" i="9" s="1"/>
  <c r="AK302" i="9"/>
  <c r="P294" i="9"/>
  <c r="Q294" i="9" s="1"/>
  <c r="AN294" i="9" s="1"/>
  <c r="AK294" i="9"/>
  <c r="P286" i="9"/>
  <c r="Q286" i="9" s="1"/>
  <c r="AN286" i="9" s="1"/>
  <c r="AK286" i="9"/>
  <c r="P278" i="9"/>
  <c r="Q278" i="9" s="1"/>
  <c r="AN278" i="9" s="1"/>
  <c r="AK278" i="9"/>
  <c r="P270" i="9"/>
  <c r="Q270" i="9" s="1"/>
  <c r="AN270" i="9" s="1"/>
  <c r="AK270" i="9"/>
  <c r="P262" i="9"/>
  <c r="Q262" i="9" s="1"/>
  <c r="AN262" i="9" s="1"/>
  <c r="AK262" i="9"/>
  <c r="P254" i="9"/>
  <c r="Q254" i="9" s="1"/>
  <c r="AN254" i="9" s="1"/>
  <c r="AK254" i="9"/>
  <c r="P246" i="9"/>
  <c r="Q246" i="9" s="1"/>
  <c r="AN246" i="9" s="1"/>
  <c r="AK246" i="9"/>
  <c r="P238" i="9"/>
  <c r="Q238" i="9" s="1"/>
  <c r="AN238" i="9" s="1"/>
  <c r="AK238" i="9"/>
  <c r="P230" i="9"/>
  <c r="Q230" i="9" s="1"/>
  <c r="AN230" i="9" s="1"/>
  <c r="AK230" i="9"/>
  <c r="P222" i="9"/>
  <c r="Q222" i="9" s="1"/>
  <c r="AN222" i="9" s="1"/>
  <c r="AK222" i="9"/>
  <c r="P214" i="9"/>
  <c r="Q214" i="9" s="1"/>
  <c r="AN214" i="9" s="1"/>
  <c r="AK214" i="9"/>
  <c r="P206" i="9"/>
  <c r="Q206" i="9" s="1"/>
  <c r="AN206" i="9" s="1"/>
  <c r="AK206" i="9"/>
  <c r="P198" i="9"/>
  <c r="Q198" i="9" s="1"/>
  <c r="AN198" i="9" s="1"/>
  <c r="AK198" i="9"/>
  <c r="P190" i="9"/>
  <c r="Q190" i="9" s="1"/>
  <c r="AN190" i="9" s="1"/>
  <c r="AK190" i="9"/>
  <c r="P182" i="9"/>
  <c r="Q182" i="9" s="1"/>
  <c r="AN182" i="9" s="1"/>
  <c r="AK182" i="9"/>
  <c r="P174" i="9"/>
  <c r="Q174" i="9" s="1"/>
  <c r="AN174" i="9" s="1"/>
  <c r="AK174" i="9"/>
  <c r="P166" i="9"/>
  <c r="Q166" i="9" s="1"/>
  <c r="AN166" i="9" s="1"/>
  <c r="AK166" i="9"/>
  <c r="P158" i="9"/>
  <c r="Q158" i="9" s="1"/>
  <c r="AN158" i="9" s="1"/>
  <c r="AK158" i="9"/>
  <c r="P150" i="9"/>
  <c r="Q150" i="9" s="1"/>
  <c r="AN150" i="9" s="1"/>
  <c r="AK150" i="9"/>
  <c r="P142" i="9"/>
  <c r="Q142" i="9" s="1"/>
  <c r="AN142" i="9" s="1"/>
  <c r="AK142" i="9"/>
  <c r="P134" i="9"/>
  <c r="Q134" i="9" s="1"/>
  <c r="AN134" i="9" s="1"/>
  <c r="AK134" i="9"/>
  <c r="P126" i="9"/>
  <c r="Q126" i="9" s="1"/>
  <c r="AN126" i="9" s="1"/>
  <c r="AK126" i="9"/>
  <c r="P118" i="9"/>
  <c r="Q118" i="9" s="1"/>
  <c r="AN118" i="9" s="1"/>
  <c r="AK118" i="9"/>
  <c r="P110" i="9"/>
  <c r="Q110" i="9" s="1"/>
  <c r="AN110" i="9" s="1"/>
  <c r="AK110" i="9"/>
  <c r="P102" i="9"/>
  <c r="Q102" i="9" s="1"/>
  <c r="AK102" i="9"/>
  <c r="P94" i="9"/>
  <c r="Q94" i="9" s="1"/>
  <c r="AK94" i="9"/>
  <c r="P86" i="9"/>
  <c r="Q86" i="9" s="1"/>
  <c r="AK86" i="9"/>
  <c r="P78" i="9"/>
  <c r="Q78" i="9" s="1"/>
  <c r="AK78" i="9"/>
  <c r="P70" i="9"/>
  <c r="Q70" i="9" s="1"/>
  <c r="AK70" i="9"/>
  <c r="P62" i="9"/>
  <c r="Q62" i="9" s="1"/>
  <c r="AK62" i="9"/>
  <c r="P54" i="9"/>
  <c r="Q54" i="9" s="1"/>
  <c r="AK54" i="9"/>
  <c r="P46" i="9"/>
  <c r="Q46" i="9" s="1"/>
  <c r="AK46" i="9"/>
  <c r="P38" i="9"/>
  <c r="Q38" i="9" s="1"/>
  <c r="AK38" i="9"/>
  <c r="P30" i="9"/>
  <c r="Q30" i="9" s="1"/>
  <c r="AK30" i="9"/>
  <c r="P22" i="9"/>
  <c r="Q22" i="9" s="1"/>
  <c r="AK22" i="9"/>
  <c r="P14" i="9"/>
  <c r="Q14" i="9" s="1"/>
  <c r="AK14" i="9"/>
  <c r="P6" i="9"/>
  <c r="Q6" i="9" s="1"/>
  <c r="AK6" i="9"/>
  <c r="P325" i="9"/>
  <c r="Q325" i="9" s="1"/>
  <c r="AN325" i="9" s="1"/>
  <c r="AK325" i="9"/>
  <c r="P317" i="9"/>
  <c r="Q317" i="9" s="1"/>
  <c r="AN317" i="9" s="1"/>
  <c r="AK317" i="9"/>
  <c r="P309" i="9"/>
  <c r="Q309" i="9" s="1"/>
  <c r="AN309" i="9" s="1"/>
  <c r="AK309" i="9"/>
  <c r="P301" i="9"/>
  <c r="Q301" i="9" s="1"/>
  <c r="AN301" i="9" s="1"/>
  <c r="AK301" i="9"/>
  <c r="P293" i="9"/>
  <c r="Q293" i="9" s="1"/>
  <c r="AN293" i="9" s="1"/>
  <c r="AK293" i="9"/>
  <c r="P285" i="9"/>
  <c r="Q285" i="9" s="1"/>
  <c r="AN285" i="9" s="1"/>
  <c r="AK285" i="9"/>
  <c r="P277" i="9"/>
  <c r="Q277" i="9" s="1"/>
  <c r="AN277" i="9" s="1"/>
  <c r="AK277" i="9"/>
  <c r="P269" i="9"/>
  <c r="Q269" i="9" s="1"/>
  <c r="AN269" i="9" s="1"/>
  <c r="AK269" i="9"/>
  <c r="P261" i="9"/>
  <c r="Q261" i="9" s="1"/>
  <c r="AN261" i="9" s="1"/>
  <c r="AK261" i="9"/>
  <c r="P253" i="9"/>
  <c r="Q253" i="9" s="1"/>
  <c r="AN253" i="9" s="1"/>
  <c r="AK253" i="9"/>
  <c r="P245" i="9"/>
  <c r="Q245" i="9" s="1"/>
  <c r="AN245" i="9" s="1"/>
  <c r="AK245" i="9"/>
  <c r="P237" i="9"/>
  <c r="Q237" i="9" s="1"/>
  <c r="AN237" i="9" s="1"/>
  <c r="AK237" i="9"/>
  <c r="P229" i="9"/>
  <c r="Q229" i="9" s="1"/>
  <c r="AN229" i="9" s="1"/>
  <c r="AK229" i="9"/>
  <c r="P221" i="9"/>
  <c r="Q221" i="9" s="1"/>
  <c r="AN221" i="9" s="1"/>
  <c r="AK221" i="9"/>
  <c r="P213" i="9"/>
  <c r="Q213" i="9" s="1"/>
  <c r="AN213" i="9" s="1"/>
  <c r="AK213" i="9"/>
  <c r="P205" i="9"/>
  <c r="Q205" i="9" s="1"/>
  <c r="AN205" i="9" s="1"/>
  <c r="AK205" i="9"/>
  <c r="P197" i="9"/>
  <c r="Q197" i="9" s="1"/>
  <c r="AN197" i="9" s="1"/>
  <c r="AK197" i="9"/>
  <c r="P189" i="9"/>
  <c r="Q189" i="9" s="1"/>
  <c r="AN189" i="9" s="1"/>
  <c r="AK189" i="9"/>
  <c r="P181" i="9"/>
  <c r="Q181" i="9" s="1"/>
  <c r="AN181" i="9" s="1"/>
  <c r="AK181" i="9"/>
  <c r="P173" i="9"/>
  <c r="Q173" i="9" s="1"/>
  <c r="AN173" i="9" s="1"/>
  <c r="AK173" i="9"/>
  <c r="P165" i="9"/>
  <c r="Q165" i="9" s="1"/>
  <c r="AN165" i="9" s="1"/>
  <c r="AK165" i="9"/>
  <c r="P157" i="9"/>
  <c r="Q157" i="9" s="1"/>
  <c r="AN157" i="9" s="1"/>
  <c r="AK157" i="9"/>
  <c r="P149" i="9"/>
  <c r="Q149" i="9" s="1"/>
  <c r="AN149" i="9" s="1"/>
  <c r="AK149" i="9"/>
  <c r="P141" i="9"/>
  <c r="Q141" i="9" s="1"/>
  <c r="AN141" i="9" s="1"/>
  <c r="AK141" i="9"/>
  <c r="P133" i="9"/>
  <c r="Q133" i="9" s="1"/>
  <c r="AN133" i="9" s="1"/>
  <c r="AK133" i="9"/>
  <c r="P125" i="9"/>
  <c r="Q125" i="9" s="1"/>
  <c r="AN125" i="9" s="1"/>
  <c r="AK125" i="9"/>
  <c r="P117" i="9"/>
  <c r="Q117" i="9" s="1"/>
  <c r="AN117" i="9" s="1"/>
  <c r="AK117" i="9"/>
  <c r="P109" i="9"/>
  <c r="Q109" i="9" s="1"/>
  <c r="AN109" i="9" s="1"/>
  <c r="AK109" i="9"/>
  <c r="P101" i="9"/>
  <c r="Q101" i="9" s="1"/>
  <c r="AK101" i="9"/>
  <c r="P93" i="9"/>
  <c r="Q93" i="9" s="1"/>
  <c r="AK93" i="9"/>
  <c r="P85" i="9"/>
  <c r="Q85" i="9" s="1"/>
  <c r="AK85" i="9"/>
  <c r="P77" i="9"/>
  <c r="Q77" i="9" s="1"/>
  <c r="AK77" i="9"/>
  <c r="P69" i="9"/>
  <c r="Q69" i="9" s="1"/>
  <c r="AK69" i="9"/>
  <c r="P61" i="9"/>
  <c r="Q61" i="9" s="1"/>
  <c r="AK61" i="9"/>
  <c r="P53" i="9"/>
  <c r="Q53" i="9" s="1"/>
  <c r="AK53" i="9"/>
  <c r="P45" i="9"/>
  <c r="Q45" i="9" s="1"/>
  <c r="AK45" i="9"/>
  <c r="P37" i="9"/>
  <c r="Q37" i="9" s="1"/>
  <c r="AK37" i="9"/>
  <c r="P29" i="9"/>
  <c r="Q29" i="9" s="1"/>
  <c r="AK29" i="9"/>
  <c r="P21" i="9"/>
  <c r="Q21" i="9" s="1"/>
  <c r="AK21" i="9"/>
  <c r="P13" i="9"/>
  <c r="Q13" i="9" s="1"/>
  <c r="AK13" i="9"/>
  <c r="P5" i="9"/>
  <c r="Q5" i="9" s="1"/>
  <c r="AK5" i="9"/>
  <c r="P314" i="9"/>
  <c r="Q314" i="9" s="1"/>
  <c r="AN314" i="9" s="1"/>
  <c r="AK314" i="9"/>
  <c r="P282" i="9"/>
  <c r="Q282" i="9" s="1"/>
  <c r="AN282" i="9" s="1"/>
  <c r="AK282" i="9"/>
  <c r="P258" i="9"/>
  <c r="Q258" i="9" s="1"/>
  <c r="AN258" i="9" s="1"/>
  <c r="AK258" i="9"/>
  <c r="P226" i="9"/>
  <c r="Q226" i="9" s="1"/>
  <c r="AN226" i="9" s="1"/>
  <c r="AK226" i="9"/>
  <c r="P170" i="9"/>
  <c r="Q170" i="9" s="1"/>
  <c r="AN170" i="9" s="1"/>
  <c r="AK170" i="9"/>
  <c r="P98" i="9"/>
  <c r="Q98" i="9" s="1"/>
  <c r="AK98" i="9"/>
  <c r="P324" i="9"/>
  <c r="Q324" i="9" s="1"/>
  <c r="AN324" i="9" s="1"/>
  <c r="AK324" i="9"/>
  <c r="P316" i="9"/>
  <c r="Q316" i="9" s="1"/>
  <c r="AN316" i="9" s="1"/>
  <c r="AK316" i="9"/>
  <c r="P308" i="9"/>
  <c r="Q308" i="9" s="1"/>
  <c r="AN308" i="9" s="1"/>
  <c r="AK308" i="9"/>
  <c r="P300" i="9"/>
  <c r="Q300" i="9" s="1"/>
  <c r="AN300" i="9" s="1"/>
  <c r="AK300" i="9"/>
  <c r="P292" i="9"/>
  <c r="Q292" i="9" s="1"/>
  <c r="AN292" i="9" s="1"/>
  <c r="AK292" i="9"/>
  <c r="P284" i="9"/>
  <c r="Q284" i="9" s="1"/>
  <c r="AN284" i="9" s="1"/>
  <c r="AK284" i="9"/>
  <c r="P276" i="9"/>
  <c r="Q276" i="9" s="1"/>
  <c r="AN276" i="9" s="1"/>
  <c r="AK276" i="9"/>
  <c r="P268" i="9"/>
  <c r="Q268" i="9" s="1"/>
  <c r="AN268" i="9" s="1"/>
  <c r="AK268" i="9"/>
  <c r="P260" i="9"/>
  <c r="Q260" i="9" s="1"/>
  <c r="AN260" i="9" s="1"/>
  <c r="AK260" i="9"/>
  <c r="P252" i="9"/>
  <c r="Q252" i="9" s="1"/>
  <c r="AN252" i="9" s="1"/>
  <c r="AK252" i="9"/>
  <c r="P244" i="9"/>
  <c r="Q244" i="9" s="1"/>
  <c r="AN244" i="9" s="1"/>
  <c r="AK244" i="9"/>
  <c r="P236" i="9"/>
  <c r="Q236" i="9" s="1"/>
  <c r="AN236" i="9" s="1"/>
  <c r="AK236" i="9"/>
  <c r="P228" i="9"/>
  <c r="Q228" i="9" s="1"/>
  <c r="AN228" i="9" s="1"/>
  <c r="AK228" i="9"/>
  <c r="P220" i="9"/>
  <c r="Q220" i="9" s="1"/>
  <c r="AN220" i="9" s="1"/>
  <c r="AK220" i="9"/>
  <c r="P212" i="9"/>
  <c r="Q212" i="9" s="1"/>
  <c r="AN212" i="9" s="1"/>
  <c r="AK212" i="9"/>
  <c r="P204" i="9"/>
  <c r="Q204" i="9" s="1"/>
  <c r="AN204" i="9" s="1"/>
  <c r="AK204" i="9"/>
  <c r="P196" i="9"/>
  <c r="Q196" i="9" s="1"/>
  <c r="AN196" i="9" s="1"/>
  <c r="AK196" i="9"/>
  <c r="P188" i="9"/>
  <c r="Q188" i="9" s="1"/>
  <c r="AN188" i="9" s="1"/>
  <c r="AK188" i="9"/>
  <c r="P180" i="9"/>
  <c r="Q180" i="9" s="1"/>
  <c r="AN180" i="9" s="1"/>
  <c r="AK180" i="9"/>
  <c r="P172" i="9"/>
  <c r="Q172" i="9" s="1"/>
  <c r="AN172" i="9" s="1"/>
  <c r="AK172" i="9"/>
  <c r="P164" i="9"/>
  <c r="Q164" i="9" s="1"/>
  <c r="AN164" i="9" s="1"/>
  <c r="AK164" i="9"/>
  <c r="P156" i="9"/>
  <c r="Q156" i="9" s="1"/>
  <c r="AN156" i="9" s="1"/>
  <c r="AK156" i="9"/>
  <c r="P148" i="9"/>
  <c r="Q148" i="9" s="1"/>
  <c r="AN148" i="9" s="1"/>
  <c r="AK148" i="9"/>
  <c r="P140" i="9"/>
  <c r="Q140" i="9" s="1"/>
  <c r="AN140" i="9" s="1"/>
  <c r="AK140" i="9"/>
  <c r="P132" i="9"/>
  <c r="Q132" i="9" s="1"/>
  <c r="AN132" i="9" s="1"/>
  <c r="AK132" i="9"/>
  <c r="P124" i="9"/>
  <c r="Q124" i="9" s="1"/>
  <c r="AN124" i="9" s="1"/>
  <c r="AK124" i="9"/>
  <c r="P116" i="9"/>
  <c r="Q116" i="9" s="1"/>
  <c r="AN116" i="9" s="1"/>
  <c r="AK116" i="9"/>
  <c r="P108" i="9"/>
  <c r="Q108" i="9" s="1"/>
  <c r="AN108" i="9" s="1"/>
  <c r="AK108" i="9"/>
  <c r="P100" i="9"/>
  <c r="Q100" i="9" s="1"/>
  <c r="AK100" i="9"/>
  <c r="P92" i="9"/>
  <c r="Q92" i="9" s="1"/>
  <c r="AK92" i="9"/>
  <c r="P84" i="9"/>
  <c r="Q84" i="9" s="1"/>
  <c r="AK84" i="9"/>
  <c r="P76" i="9"/>
  <c r="Q76" i="9" s="1"/>
  <c r="AK76" i="9"/>
  <c r="P68" i="9"/>
  <c r="Q68" i="9" s="1"/>
  <c r="AK68" i="9"/>
  <c r="P60" i="9"/>
  <c r="Q60" i="9" s="1"/>
  <c r="AK60" i="9"/>
  <c r="P52" i="9"/>
  <c r="Q52" i="9" s="1"/>
  <c r="AK52" i="9"/>
  <c r="P44" i="9"/>
  <c r="Q44" i="9" s="1"/>
  <c r="AK44" i="9"/>
  <c r="P36" i="9"/>
  <c r="Q36" i="9" s="1"/>
  <c r="AK36" i="9"/>
  <c r="P28" i="9"/>
  <c r="Q28" i="9" s="1"/>
  <c r="AK28" i="9"/>
  <c r="P20" i="9"/>
  <c r="Q20" i="9" s="1"/>
  <c r="AK20" i="9"/>
  <c r="P12" i="9"/>
  <c r="Q12" i="9" s="1"/>
  <c r="AK12" i="9"/>
  <c r="P4" i="9"/>
  <c r="Q4" i="9" s="1"/>
  <c r="AK4" i="9"/>
  <c r="P323" i="9"/>
  <c r="Q323" i="9" s="1"/>
  <c r="AN323" i="9" s="1"/>
  <c r="AK323" i="9"/>
  <c r="P315" i="9"/>
  <c r="Q315" i="9" s="1"/>
  <c r="AN315" i="9" s="1"/>
  <c r="AK315" i="9"/>
  <c r="P307" i="9"/>
  <c r="Q307" i="9" s="1"/>
  <c r="AN307" i="9" s="1"/>
  <c r="AK307" i="9"/>
  <c r="P299" i="9"/>
  <c r="Q299" i="9" s="1"/>
  <c r="AN299" i="9" s="1"/>
  <c r="AK299" i="9"/>
  <c r="P291" i="9"/>
  <c r="Q291" i="9" s="1"/>
  <c r="AN291" i="9" s="1"/>
  <c r="AK291" i="9"/>
  <c r="P283" i="9"/>
  <c r="Q283" i="9" s="1"/>
  <c r="AN283" i="9" s="1"/>
  <c r="AK283" i="9"/>
  <c r="P275" i="9"/>
  <c r="Q275" i="9" s="1"/>
  <c r="AN275" i="9" s="1"/>
  <c r="AK275" i="9"/>
  <c r="P267" i="9"/>
  <c r="Q267" i="9" s="1"/>
  <c r="AN267" i="9" s="1"/>
  <c r="AK267" i="9"/>
  <c r="P259" i="9"/>
  <c r="Q259" i="9" s="1"/>
  <c r="AN259" i="9" s="1"/>
  <c r="AK259" i="9"/>
  <c r="P251" i="9"/>
  <c r="Q251" i="9" s="1"/>
  <c r="AN251" i="9" s="1"/>
  <c r="AK251" i="9"/>
  <c r="P243" i="9"/>
  <c r="Q243" i="9" s="1"/>
  <c r="AN243" i="9" s="1"/>
  <c r="AK243" i="9"/>
  <c r="P235" i="9"/>
  <c r="Q235" i="9" s="1"/>
  <c r="AN235" i="9" s="1"/>
  <c r="AK235" i="9"/>
  <c r="P227" i="9"/>
  <c r="Q227" i="9" s="1"/>
  <c r="AN227" i="9" s="1"/>
  <c r="AK227" i="9"/>
  <c r="P219" i="9"/>
  <c r="Q219" i="9" s="1"/>
  <c r="AN219" i="9" s="1"/>
  <c r="AK219" i="9"/>
  <c r="P211" i="9"/>
  <c r="Q211" i="9" s="1"/>
  <c r="AN211" i="9" s="1"/>
  <c r="AK211" i="9"/>
  <c r="P203" i="9"/>
  <c r="Q203" i="9" s="1"/>
  <c r="AN203" i="9" s="1"/>
  <c r="AK203" i="9"/>
  <c r="P195" i="9"/>
  <c r="Q195" i="9" s="1"/>
  <c r="AN195" i="9" s="1"/>
  <c r="AK195" i="9"/>
  <c r="P187" i="9"/>
  <c r="Q187" i="9" s="1"/>
  <c r="AN187" i="9" s="1"/>
  <c r="AK187" i="9"/>
  <c r="P179" i="9"/>
  <c r="Q179" i="9" s="1"/>
  <c r="AN179" i="9" s="1"/>
  <c r="AK179" i="9"/>
  <c r="P171" i="9"/>
  <c r="Q171" i="9" s="1"/>
  <c r="AN171" i="9" s="1"/>
  <c r="AK171" i="9"/>
  <c r="P163" i="9"/>
  <c r="Q163" i="9" s="1"/>
  <c r="AN163" i="9" s="1"/>
  <c r="AK163" i="9"/>
  <c r="P155" i="9"/>
  <c r="Q155" i="9" s="1"/>
  <c r="AN155" i="9" s="1"/>
  <c r="AK155" i="9"/>
  <c r="P147" i="9"/>
  <c r="Q147" i="9" s="1"/>
  <c r="AN147" i="9" s="1"/>
  <c r="AK147" i="9"/>
  <c r="P139" i="9"/>
  <c r="Q139" i="9" s="1"/>
  <c r="AN139" i="9" s="1"/>
  <c r="AK139" i="9"/>
  <c r="P131" i="9"/>
  <c r="Q131" i="9" s="1"/>
  <c r="AN131" i="9" s="1"/>
  <c r="AK131" i="9"/>
  <c r="P123" i="9"/>
  <c r="Q123" i="9" s="1"/>
  <c r="AN123" i="9" s="1"/>
  <c r="AK123" i="9"/>
  <c r="P115" i="9"/>
  <c r="Q115" i="9" s="1"/>
  <c r="AN115" i="9" s="1"/>
  <c r="AK115" i="9"/>
  <c r="P107" i="9"/>
  <c r="Q107" i="9" s="1"/>
  <c r="AN107" i="9" s="1"/>
  <c r="AK107" i="9"/>
  <c r="P99" i="9"/>
  <c r="Q99" i="9" s="1"/>
  <c r="AK99" i="9"/>
  <c r="P91" i="9"/>
  <c r="Q91" i="9" s="1"/>
  <c r="AK91" i="9"/>
  <c r="P83" i="9"/>
  <c r="Q83" i="9" s="1"/>
  <c r="AK83" i="9"/>
  <c r="P75" i="9"/>
  <c r="Q75" i="9" s="1"/>
  <c r="AK75" i="9"/>
  <c r="P67" i="9"/>
  <c r="Q67" i="9" s="1"/>
  <c r="AK67" i="9"/>
  <c r="P59" i="9"/>
  <c r="Q59" i="9" s="1"/>
  <c r="AK59" i="9"/>
  <c r="P51" i="9"/>
  <c r="Q51" i="9" s="1"/>
  <c r="AK51" i="9"/>
  <c r="P43" i="9"/>
  <c r="Q43" i="9" s="1"/>
  <c r="AK43" i="9"/>
  <c r="P35" i="9"/>
  <c r="Q35" i="9" s="1"/>
  <c r="AK35" i="9"/>
  <c r="P27" i="9"/>
  <c r="Q27" i="9" s="1"/>
  <c r="AK27" i="9"/>
  <c r="P19" i="9"/>
  <c r="Q19" i="9" s="1"/>
  <c r="AK19" i="9"/>
  <c r="P11" i="9"/>
  <c r="Q11" i="9" s="1"/>
  <c r="AK11" i="9"/>
  <c r="P3" i="9"/>
  <c r="Q3" i="9" s="1"/>
  <c r="AK3" i="9"/>
  <c r="P322" i="9"/>
  <c r="Q322" i="9" s="1"/>
  <c r="AN322" i="9" s="1"/>
  <c r="AK322" i="9"/>
  <c r="P298" i="9"/>
  <c r="Q298" i="9" s="1"/>
  <c r="AN298" i="9" s="1"/>
  <c r="AK298" i="9"/>
  <c r="P266" i="9"/>
  <c r="Q266" i="9" s="1"/>
  <c r="AN266" i="9" s="1"/>
  <c r="AK266" i="9"/>
  <c r="P242" i="9"/>
  <c r="Q242" i="9" s="1"/>
  <c r="AN242" i="9" s="1"/>
  <c r="AK242" i="9"/>
  <c r="P218" i="9"/>
  <c r="Q218" i="9" s="1"/>
  <c r="AN218" i="9" s="1"/>
  <c r="AK218" i="9"/>
  <c r="P194" i="9"/>
  <c r="Q194" i="9" s="1"/>
  <c r="AN194" i="9" s="1"/>
  <c r="AK194" i="9"/>
  <c r="P178" i="9"/>
  <c r="Q178" i="9" s="1"/>
  <c r="AN178" i="9" s="1"/>
  <c r="AK178" i="9"/>
  <c r="P154" i="9"/>
  <c r="Q154" i="9" s="1"/>
  <c r="AN154" i="9" s="1"/>
  <c r="AK154" i="9"/>
  <c r="P130" i="9"/>
  <c r="Q130" i="9" s="1"/>
  <c r="AN130" i="9" s="1"/>
  <c r="AK130" i="9"/>
  <c r="P106" i="9"/>
  <c r="Q106" i="9" s="1"/>
  <c r="AN106" i="9" s="1"/>
  <c r="AK106" i="9"/>
  <c r="P82" i="9"/>
  <c r="Q82" i="9" s="1"/>
  <c r="AK82" i="9"/>
  <c r="P66" i="9"/>
  <c r="Q66" i="9" s="1"/>
  <c r="AK66" i="9"/>
  <c r="P50" i="9"/>
  <c r="Q50" i="9" s="1"/>
  <c r="AK50" i="9"/>
  <c r="P34" i="9"/>
  <c r="Q34" i="9" s="1"/>
  <c r="AK34" i="9"/>
  <c r="P18" i="9"/>
  <c r="Q18" i="9" s="1"/>
  <c r="AK18" i="9"/>
  <c r="P321" i="9"/>
  <c r="Q321" i="9" s="1"/>
  <c r="AN321" i="9" s="1"/>
  <c r="AK321" i="9"/>
  <c r="P305" i="9"/>
  <c r="Q305" i="9" s="1"/>
  <c r="AN305" i="9" s="1"/>
  <c r="AK305" i="9"/>
  <c r="P289" i="9"/>
  <c r="Q289" i="9" s="1"/>
  <c r="AN289" i="9" s="1"/>
  <c r="AK289" i="9"/>
  <c r="P265" i="9"/>
  <c r="Q265" i="9" s="1"/>
  <c r="AN265" i="9" s="1"/>
  <c r="AK265" i="9"/>
  <c r="P249" i="9"/>
  <c r="Q249" i="9" s="1"/>
  <c r="AN249" i="9" s="1"/>
  <c r="AK249" i="9"/>
  <c r="P225" i="9"/>
  <c r="Q225" i="9" s="1"/>
  <c r="AN225" i="9" s="1"/>
  <c r="AK225" i="9"/>
  <c r="P209" i="9"/>
  <c r="Q209" i="9" s="1"/>
  <c r="AN209" i="9" s="1"/>
  <c r="AK209" i="9"/>
  <c r="P193" i="9"/>
  <c r="Q193" i="9" s="1"/>
  <c r="AN193" i="9" s="1"/>
  <c r="AK193" i="9"/>
  <c r="P177" i="9"/>
  <c r="Q177" i="9" s="1"/>
  <c r="AN177" i="9" s="1"/>
  <c r="AK177" i="9"/>
  <c r="P161" i="9"/>
  <c r="Q161" i="9" s="1"/>
  <c r="AN161" i="9" s="1"/>
  <c r="AK161" i="9"/>
  <c r="P137" i="9"/>
  <c r="Q137" i="9" s="1"/>
  <c r="AN137" i="9" s="1"/>
  <c r="AK137" i="9"/>
  <c r="P121" i="9"/>
  <c r="Q121" i="9" s="1"/>
  <c r="AN121" i="9" s="1"/>
  <c r="AK121" i="9"/>
  <c r="P105" i="9"/>
  <c r="Q105" i="9" s="1"/>
  <c r="AK105" i="9"/>
  <c r="P89" i="9"/>
  <c r="Q89" i="9" s="1"/>
  <c r="AK89" i="9"/>
  <c r="P81" i="9"/>
  <c r="Q81" i="9" s="1"/>
  <c r="AK81" i="9"/>
  <c r="P65" i="9"/>
  <c r="Q65" i="9" s="1"/>
  <c r="AK65" i="9"/>
  <c r="P49" i="9"/>
  <c r="Q49" i="9" s="1"/>
  <c r="AK49" i="9"/>
  <c r="P33" i="9"/>
  <c r="Q33" i="9" s="1"/>
  <c r="AK33" i="9"/>
  <c r="P17" i="9"/>
  <c r="Q17" i="9" s="1"/>
  <c r="AK17" i="9"/>
  <c r="P2" i="9"/>
  <c r="Q2" i="9" s="1"/>
  <c r="AK2" i="9"/>
  <c r="P320" i="9"/>
  <c r="Q320" i="9" s="1"/>
  <c r="AN320" i="9" s="1"/>
  <c r="AK320" i="9"/>
  <c r="P312" i="9"/>
  <c r="Q312" i="9" s="1"/>
  <c r="AN312" i="9" s="1"/>
  <c r="AK312" i="9"/>
  <c r="P304" i="9"/>
  <c r="Q304" i="9" s="1"/>
  <c r="AN304" i="9" s="1"/>
  <c r="AK304" i="9"/>
  <c r="P296" i="9"/>
  <c r="Q296" i="9" s="1"/>
  <c r="AN296" i="9" s="1"/>
  <c r="AK296" i="9"/>
  <c r="P288" i="9"/>
  <c r="Q288" i="9" s="1"/>
  <c r="AN288" i="9" s="1"/>
  <c r="AK288" i="9"/>
  <c r="P280" i="9"/>
  <c r="Q280" i="9" s="1"/>
  <c r="AN280" i="9" s="1"/>
  <c r="AK280" i="9"/>
  <c r="P272" i="9"/>
  <c r="Q272" i="9" s="1"/>
  <c r="AN272" i="9" s="1"/>
  <c r="AK272" i="9"/>
  <c r="P264" i="9"/>
  <c r="Q264" i="9" s="1"/>
  <c r="AN264" i="9" s="1"/>
  <c r="AK264" i="9"/>
  <c r="P256" i="9"/>
  <c r="Q256" i="9" s="1"/>
  <c r="AN256" i="9" s="1"/>
  <c r="AK256" i="9"/>
  <c r="P248" i="9"/>
  <c r="Q248" i="9" s="1"/>
  <c r="AN248" i="9" s="1"/>
  <c r="AK248" i="9"/>
  <c r="P240" i="9"/>
  <c r="Q240" i="9" s="1"/>
  <c r="AN240" i="9" s="1"/>
  <c r="AK240" i="9"/>
  <c r="P232" i="9"/>
  <c r="Q232" i="9" s="1"/>
  <c r="AN232" i="9" s="1"/>
  <c r="AK232" i="9"/>
  <c r="P224" i="9"/>
  <c r="Q224" i="9" s="1"/>
  <c r="AN224" i="9" s="1"/>
  <c r="AK224" i="9"/>
  <c r="P216" i="9"/>
  <c r="Q216" i="9" s="1"/>
  <c r="AN216" i="9" s="1"/>
  <c r="AK216" i="9"/>
  <c r="P208" i="9"/>
  <c r="Q208" i="9" s="1"/>
  <c r="AN208" i="9" s="1"/>
  <c r="AK208" i="9"/>
  <c r="P200" i="9"/>
  <c r="Q200" i="9" s="1"/>
  <c r="AN200" i="9" s="1"/>
  <c r="AK200" i="9"/>
  <c r="P192" i="9"/>
  <c r="Q192" i="9" s="1"/>
  <c r="AN192" i="9" s="1"/>
  <c r="AK192" i="9"/>
  <c r="P184" i="9"/>
  <c r="Q184" i="9" s="1"/>
  <c r="AN184" i="9" s="1"/>
  <c r="AK184" i="9"/>
  <c r="P176" i="9"/>
  <c r="Q176" i="9" s="1"/>
  <c r="AN176" i="9" s="1"/>
  <c r="AK176" i="9"/>
  <c r="P168" i="9"/>
  <c r="Q168" i="9" s="1"/>
  <c r="AN168" i="9" s="1"/>
  <c r="AK168" i="9"/>
  <c r="P160" i="9"/>
  <c r="Q160" i="9" s="1"/>
  <c r="AN160" i="9" s="1"/>
  <c r="AK160" i="9"/>
  <c r="P152" i="9"/>
  <c r="Q152" i="9" s="1"/>
  <c r="AN152" i="9" s="1"/>
  <c r="AK152" i="9"/>
  <c r="P144" i="9"/>
  <c r="Q144" i="9" s="1"/>
  <c r="AN144" i="9" s="1"/>
  <c r="AK144" i="9"/>
  <c r="P136" i="9"/>
  <c r="Q136" i="9" s="1"/>
  <c r="AN136" i="9" s="1"/>
  <c r="AK136" i="9"/>
  <c r="P128" i="9"/>
  <c r="Q128" i="9" s="1"/>
  <c r="AN128" i="9" s="1"/>
  <c r="AK128" i="9"/>
  <c r="P120" i="9"/>
  <c r="Q120" i="9" s="1"/>
  <c r="AN120" i="9" s="1"/>
  <c r="AK120" i="9"/>
  <c r="P112" i="9"/>
  <c r="Q112" i="9" s="1"/>
  <c r="AN112" i="9" s="1"/>
  <c r="AK112" i="9"/>
  <c r="P104" i="9"/>
  <c r="Q104" i="9" s="1"/>
  <c r="AK104" i="9"/>
  <c r="P96" i="9"/>
  <c r="Q96" i="9" s="1"/>
  <c r="AK96" i="9"/>
  <c r="P88" i="9"/>
  <c r="Q88" i="9" s="1"/>
  <c r="AK88" i="9"/>
  <c r="P80" i="9"/>
  <c r="Q80" i="9" s="1"/>
  <c r="AK80" i="9"/>
  <c r="P72" i="9"/>
  <c r="Q72" i="9" s="1"/>
  <c r="AK72" i="9"/>
  <c r="P64" i="9"/>
  <c r="Q64" i="9" s="1"/>
  <c r="AK64" i="9"/>
  <c r="P56" i="9"/>
  <c r="Q56" i="9" s="1"/>
  <c r="AK56" i="9"/>
  <c r="P48" i="9"/>
  <c r="Q48" i="9" s="1"/>
  <c r="AK48" i="9"/>
  <c r="P40" i="9"/>
  <c r="Q40" i="9" s="1"/>
  <c r="AK40" i="9"/>
  <c r="P32" i="9"/>
  <c r="Q32" i="9" s="1"/>
  <c r="AK32" i="9"/>
  <c r="P24" i="9"/>
  <c r="Q24" i="9" s="1"/>
  <c r="AK24" i="9"/>
  <c r="P16" i="9"/>
  <c r="Q16" i="9" s="1"/>
  <c r="AK16" i="9"/>
  <c r="P8" i="9"/>
  <c r="Q8" i="9" s="1"/>
  <c r="AK8" i="9"/>
  <c r="P306" i="9"/>
  <c r="Q306" i="9" s="1"/>
  <c r="AN306" i="9" s="1"/>
  <c r="AK306" i="9"/>
  <c r="P274" i="9"/>
  <c r="Q274" i="9" s="1"/>
  <c r="AN274" i="9" s="1"/>
  <c r="AK274" i="9"/>
  <c r="P234" i="9"/>
  <c r="Q234" i="9" s="1"/>
  <c r="AN234" i="9" s="1"/>
  <c r="AK234" i="9"/>
  <c r="P210" i="9"/>
  <c r="Q210" i="9" s="1"/>
  <c r="AN210" i="9" s="1"/>
  <c r="AK210" i="9"/>
  <c r="P186" i="9"/>
  <c r="Q186" i="9" s="1"/>
  <c r="AN186" i="9" s="1"/>
  <c r="AK186" i="9"/>
  <c r="P162" i="9"/>
  <c r="Q162" i="9" s="1"/>
  <c r="AN162" i="9" s="1"/>
  <c r="AK162" i="9"/>
  <c r="P146" i="9"/>
  <c r="Q146" i="9" s="1"/>
  <c r="AN146" i="9" s="1"/>
  <c r="AK146" i="9"/>
  <c r="P122" i="9"/>
  <c r="Q122" i="9" s="1"/>
  <c r="AN122" i="9" s="1"/>
  <c r="AK122" i="9"/>
  <c r="P114" i="9"/>
  <c r="Q114" i="9" s="1"/>
  <c r="AN114" i="9" s="1"/>
  <c r="AK114" i="9"/>
  <c r="P90" i="9"/>
  <c r="Q90" i="9" s="1"/>
  <c r="AK90" i="9"/>
  <c r="P74" i="9"/>
  <c r="Q74" i="9" s="1"/>
  <c r="AK74" i="9"/>
  <c r="P58" i="9"/>
  <c r="Q58" i="9" s="1"/>
  <c r="AK58" i="9"/>
  <c r="P42" i="9"/>
  <c r="Q42" i="9" s="1"/>
  <c r="AK42" i="9"/>
  <c r="P26" i="9"/>
  <c r="Q26" i="9" s="1"/>
  <c r="AK26" i="9"/>
  <c r="P10" i="9"/>
  <c r="Q10" i="9" s="1"/>
  <c r="AK10" i="9"/>
  <c r="P313" i="9"/>
  <c r="Q313" i="9" s="1"/>
  <c r="AN313" i="9" s="1"/>
  <c r="AK313" i="9"/>
  <c r="P297" i="9"/>
  <c r="Q297" i="9" s="1"/>
  <c r="AN297" i="9" s="1"/>
  <c r="AK297" i="9"/>
  <c r="P281" i="9"/>
  <c r="Q281" i="9" s="1"/>
  <c r="AN281" i="9" s="1"/>
  <c r="AK281" i="9"/>
  <c r="P273" i="9"/>
  <c r="Q273" i="9" s="1"/>
  <c r="AN273" i="9" s="1"/>
  <c r="AK273" i="9"/>
  <c r="P257" i="9"/>
  <c r="Q257" i="9" s="1"/>
  <c r="AN257" i="9" s="1"/>
  <c r="AK257" i="9"/>
  <c r="P241" i="9"/>
  <c r="Q241" i="9" s="1"/>
  <c r="AN241" i="9" s="1"/>
  <c r="AK241" i="9"/>
  <c r="P233" i="9"/>
  <c r="Q233" i="9" s="1"/>
  <c r="AN233" i="9" s="1"/>
  <c r="AK233" i="9"/>
  <c r="P217" i="9"/>
  <c r="Q217" i="9" s="1"/>
  <c r="AN217" i="9" s="1"/>
  <c r="AK217" i="9"/>
  <c r="P201" i="9"/>
  <c r="Q201" i="9" s="1"/>
  <c r="AN201" i="9" s="1"/>
  <c r="AK201" i="9"/>
  <c r="P185" i="9"/>
  <c r="Q185" i="9" s="1"/>
  <c r="AN185" i="9" s="1"/>
  <c r="AK185" i="9"/>
  <c r="P169" i="9"/>
  <c r="Q169" i="9" s="1"/>
  <c r="AN169" i="9" s="1"/>
  <c r="AK169" i="9"/>
  <c r="P153" i="9"/>
  <c r="Q153" i="9" s="1"/>
  <c r="AN153" i="9" s="1"/>
  <c r="AK153" i="9"/>
  <c r="P145" i="9"/>
  <c r="Q145" i="9" s="1"/>
  <c r="AN145" i="9" s="1"/>
  <c r="AK145" i="9"/>
  <c r="P129" i="9"/>
  <c r="Q129" i="9" s="1"/>
  <c r="AN129" i="9" s="1"/>
  <c r="AK129" i="9"/>
  <c r="P113" i="9"/>
  <c r="Q113" i="9" s="1"/>
  <c r="AN113" i="9" s="1"/>
  <c r="AK113" i="9"/>
  <c r="P97" i="9"/>
  <c r="Q97" i="9" s="1"/>
  <c r="AK97" i="9"/>
  <c r="P73" i="9"/>
  <c r="Q73" i="9" s="1"/>
  <c r="AK73" i="9"/>
  <c r="P57" i="9"/>
  <c r="Q57" i="9" s="1"/>
  <c r="AK57" i="9"/>
  <c r="P41" i="9"/>
  <c r="Q41" i="9" s="1"/>
  <c r="AK41" i="9"/>
  <c r="P25" i="9"/>
  <c r="Q25" i="9" s="1"/>
  <c r="AK25" i="9"/>
  <c r="P9" i="9"/>
  <c r="Q9" i="9" s="1"/>
  <c r="AK9" i="9"/>
  <c r="P327" i="9"/>
  <c r="Q327" i="9" s="1"/>
  <c r="AN327" i="9" s="1"/>
  <c r="AK327" i="9"/>
  <c r="P319" i="9"/>
  <c r="Q319" i="9" s="1"/>
  <c r="AN319" i="9" s="1"/>
  <c r="AK319" i="9"/>
  <c r="P311" i="9"/>
  <c r="Q311" i="9" s="1"/>
  <c r="AN311" i="9" s="1"/>
  <c r="AK311" i="9"/>
  <c r="P303" i="9"/>
  <c r="Q303" i="9" s="1"/>
  <c r="AN303" i="9" s="1"/>
  <c r="AK303" i="9"/>
  <c r="P295" i="9"/>
  <c r="Q295" i="9" s="1"/>
  <c r="AN295" i="9" s="1"/>
  <c r="AK295" i="9"/>
  <c r="P287" i="9"/>
  <c r="Q287" i="9" s="1"/>
  <c r="AN287" i="9" s="1"/>
  <c r="AK287" i="9"/>
  <c r="P279" i="9"/>
  <c r="Q279" i="9" s="1"/>
  <c r="AN279" i="9" s="1"/>
  <c r="AK279" i="9"/>
  <c r="P271" i="9"/>
  <c r="Q271" i="9" s="1"/>
  <c r="AN271" i="9" s="1"/>
  <c r="AK271" i="9"/>
  <c r="P263" i="9"/>
  <c r="Q263" i="9" s="1"/>
  <c r="AN263" i="9" s="1"/>
  <c r="AK263" i="9"/>
  <c r="P255" i="9"/>
  <c r="Q255" i="9" s="1"/>
  <c r="AN255" i="9" s="1"/>
  <c r="AK255" i="9"/>
  <c r="P247" i="9"/>
  <c r="Q247" i="9" s="1"/>
  <c r="AN247" i="9" s="1"/>
  <c r="AK247" i="9"/>
  <c r="P239" i="9"/>
  <c r="Q239" i="9" s="1"/>
  <c r="AN239" i="9" s="1"/>
  <c r="AK239" i="9"/>
  <c r="P231" i="9"/>
  <c r="Q231" i="9" s="1"/>
  <c r="AN231" i="9" s="1"/>
  <c r="AK231" i="9"/>
  <c r="P223" i="9"/>
  <c r="Q223" i="9" s="1"/>
  <c r="AN223" i="9" s="1"/>
  <c r="AK223" i="9"/>
  <c r="P215" i="9"/>
  <c r="Q215" i="9" s="1"/>
  <c r="AN215" i="9" s="1"/>
  <c r="AK215" i="9"/>
  <c r="P207" i="9"/>
  <c r="Q207" i="9" s="1"/>
  <c r="AN207" i="9" s="1"/>
  <c r="AK207" i="9"/>
  <c r="P199" i="9"/>
  <c r="Q199" i="9" s="1"/>
  <c r="AN199" i="9" s="1"/>
  <c r="AK199" i="9"/>
  <c r="P191" i="9"/>
  <c r="Q191" i="9" s="1"/>
  <c r="AN191" i="9" s="1"/>
  <c r="AK191" i="9"/>
  <c r="P183" i="9"/>
  <c r="Q183" i="9" s="1"/>
  <c r="AN183" i="9" s="1"/>
  <c r="AK183" i="9"/>
  <c r="P175" i="9"/>
  <c r="Q175" i="9" s="1"/>
  <c r="AN175" i="9" s="1"/>
  <c r="AK175" i="9"/>
  <c r="P167" i="9"/>
  <c r="Q167" i="9" s="1"/>
  <c r="AN167" i="9" s="1"/>
  <c r="AK167" i="9"/>
  <c r="P159" i="9"/>
  <c r="Q159" i="9" s="1"/>
  <c r="AN159" i="9" s="1"/>
  <c r="AK159" i="9"/>
  <c r="P151" i="9"/>
  <c r="Q151" i="9" s="1"/>
  <c r="AN151" i="9" s="1"/>
  <c r="AK151" i="9"/>
  <c r="P143" i="9"/>
  <c r="Q143" i="9" s="1"/>
  <c r="AN143" i="9" s="1"/>
  <c r="AK143" i="9"/>
  <c r="P135" i="9"/>
  <c r="Q135" i="9" s="1"/>
  <c r="AN135" i="9" s="1"/>
  <c r="AK135" i="9"/>
  <c r="P127" i="9"/>
  <c r="Q127" i="9" s="1"/>
  <c r="AN127" i="9" s="1"/>
  <c r="AK127" i="9"/>
  <c r="P119" i="9"/>
  <c r="Q119" i="9" s="1"/>
  <c r="AN119" i="9" s="1"/>
  <c r="AK119" i="9"/>
  <c r="P111" i="9"/>
  <c r="Q111" i="9" s="1"/>
  <c r="AN111" i="9" s="1"/>
  <c r="AK111" i="9"/>
  <c r="P103" i="9"/>
  <c r="Q103" i="9" s="1"/>
  <c r="AK103" i="9"/>
  <c r="P95" i="9"/>
  <c r="Q95" i="9" s="1"/>
  <c r="AK95" i="9"/>
  <c r="P87" i="9"/>
  <c r="Q87" i="9" s="1"/>
  <c r="AK87" i="9"/>
  <c r="P79" i="9"/>
  <c r="Q79" i="9" s="1"/>
  <c r="AK79" i="9"/>
  <c r="P71" i="9"/>
  <c r="Q71" i="9" s="1"/>
  <c r="AK71" i="9"/>
  <c r="P63" i="9"/>
  <c r="Q63" i="9" s="1"/>
  <c r="AK63" i="9"/>
  <c r="P55" i="9"/>
  <c r="Q55" i="9" s="1"/>
  <c r="AK55" i="9"/>
  <c r="P47" i="9"/>
  <c r="Q47" i="9" s="1"/>
  <c r="AK47" i="9"/>
  <c r="P39" i="9"/>
  <c r="Q39" i="9" s="1"/>
  <c r="AK39" i="9"/>
  <c r="P31" i="9"/>
  <c r="Q31" i="9" s="1"/>
  <c r="AK31" i="9"/>
  <c r="P23" i="9"/>
  <c r="Q23" i="9" s="1"/>
  <c r="AK23" i="9"/>
  <c r="P15" i="9"/>
  <c r="Q15" i="9" s="1"/>
  <c r="AK15" i="9"/>
  <c r="P7" i="9"/>
  <c r="Q7" i="9" s="1"/>
  <c r="AK7" i="9"/>
  <c r="J167" i="9"/>
  <c r="J62" i="9"/>
  <c r="J68" i="9"/>
  <c r="J60" i="9"/>
  <c r="J171" i="9"/>
  <c r="J170" i="9"/>
  <c r="J169" i="9"/>
  <c r="J74" i="9"/>
  <c r="J34" i="9"/>
  <c r="J168" i="9"/>
  <c r="J166" i="9"/>
  <c r="J72" i="9"/>
  <c r="J64" i="9"/>
  <c r="J70" i="9"/>
  <c r="A5" i="9"/>
  <c r="J73" i="9"/>
  <c r="J71" i="9"/>
  <c r="J69" i="9"/>
  <c r="J67" i="9"/>
  <c r="J65" i="9"/>
  <c r="J63" i="9"/>
  <c r="J61" i="9"/>
  <c r="J59" i="9"/>
  <c r="J4" i="9"/>
  <c r="M4" i="9" s="1"/>
  <c r="I324" i="9"/>
  <c r="I314" i="9"/>
  <c r="I300" i="9"/>
  <c r="I292" i="9"/>
  <c r="I282" i="9"/>
  <c r="I268" i="9"/>
  <c r="I260" i="9"/>
  <c r="I250" i="9"/>
  <c r="I236" i="9"/>
  <c r="I228" i="9"/>
  <c r="I218" i="9"/>
  <c r="I204" i="9"/>
  <c r="I196" i="9"/>
  <c r="I186" i="9"/>
  <c r="I172" i="9"/>
  <c r="I164" i="9"/>
  <c r="I154" i="9"/>
  <c r="I140" i="9"/>
  <c r="I116" i="9"/>
  <c r="I84" i="9"/>
  <c r="I52" i="9"/>
  <c r="J52" i="9" s="1"/>
  <c r="I20" i="9"/>
  <c r="J20" i="9" s="1"/>
  <c r="I322" i="9"/>
  <c r="I306" i="9"/>
  <c r="I290" i="9"/>
  <c r="I274" i="9"/>
  <c r="I258" i="9"/>
  <c r="I242" i="9"/>
  <c r="I226" i="9"/>
  <c r="I210" i="9"/>
  <c r="I194" i="9"/>
  <c r="I178" i="9"/>
  <c r="I162" i="9"/>
  <c r="I146" i="9"/>
  <c r="I130" i="9"/>
  <c r="I114" i="9"/>
  <c r="I98" i="9"/>
  <c r="I82" i="9"/>
  <c r="I66" i="9"/>
  <c r="I50" i="9"/>
  <c r="J50" i="9" s="1"/>
  <c r="I33" i="9"/>
  <c r="J33" i="9" s="1"/>
  <c r="I15" i="9"/>
  <c r="J15" i="9" s="1"/>
  <c r="I321" i="9"/>
  <c r="I305" i="9"/>
  <c r="I289" i="9"/>
  <c r="I273" i="9"/>
  <c r="I257" i="9"/>
  <c r="I241" i="9"/>
  <c r="I225" i="9"/>
  <c r="I209" i="9"/>
  <c r="I193" i="9"/>
  <c r="I177" i="9"/>
  <c r="I161" i="9"/>
  <c r="I145" i="9"/>
  <c r="I129" i="9"/>
  <c r="I113" i="9"/>
  <c r="I97" i="9"/>
  <c r="I81" i="9"/>
  <c r="I65" i="9"/>
  <c r="I49" i="9"/>
  <c r="J49" i="9" s="1"/>
  <c r="I32" i="9"/>
  <c r="J32" i="9" s="1"/>
  <c r="I13" i="9"/>
  <c r="J13" i="9" s="1"/>
  <c r="I320" i="9"/>
  <c r="I304" i="9"/>
  <c r="I288" i="9"/>
  <c r="I272" i="9"/>
  <c r="I256" i="9"/>
  <c r="I240" i="9"/>
  <c r="I224" i="9"/>
  <c r="I208" i="9"/>
  <c r="I192" i="9"/>
  <c r="I176" i="9"/>
  <c r="I160" i="9"/>
  <c r="I144" i="9"/>
  <c r="I128" i="9"/>
  <c r="I112" i="9"/>
  <c r="I96" i="9"/>
  <c r="I80" i="9"/>
  <c r="I64" i="9"/>
  <c r="I48" i="9"/>
  <c r="J48" i="9" s="1"/>
  <c r="I28" i="9"/>
  <c r="I12" i="9"/>
  <c r="J12" i="9" s="1"/>
  <c r="I124" i="9"/>
  <c r="I108" i="9"/>
  <c r="I92" i="9"/>
  <c r="I76" i="9"/>
  <c r="I60" i="9"/>
  <c r="I44" i="9"/>
  <c r="J44" i="9" s="1"/>
  <c r="I26" i="9"/>
  <c r="J26" i="9" s="1"/>
  <c r="I7" i="9"/>
  <c r="J7" i="9" s="1"/>
  <c r="M7" i="9" s="1"/>
  <c r="I138" i="9"/>
  <c r="I122" i="9"/>
  <c r="I106" i="9"/>
  <c r="I90" i="9"/>
  <c r="I74" i="9"/>
  <c r="I58" i="9"/>
  <c r="J58" i="9" s="1"/>
  <c r="I42" i="9"/>
  <c r="J42" i="9" s="1"/>
  <c r="I25" i="9"/>
  <c r="J25" i="9" s="1"/>
  <c r="I5" i="9"/>
  <c r="J5" i="9" s="1"/>
  <c r="M5" i="9" s="1"/>
  <c r="I313" i="9"/>
  <c r="I297" i="9"/>
  <c r="I281" i="9"/>
  <c r="I265" i="9"/>
  <c r="I249" i="9"/>
  <c r="I233" i="9"/>
  <c r="I217" i="9"/>
  <c r="I201" i="9"/>
  <c r="I185" i="9"/>
  <c r="I169" i="9"/>
  <c r="I153" i="9"/>
  <c r="I137" i="9"/>
  <c r="I121" i="9"/>
  <c r="I105" i="9"/>
  <c r="I89" i="9"/>
  <c r="I73" i="9"/>
  <c r="I57" i="9"/>
  <c r="J57" i="9" s="1"/>
  <c r="I41" i="9"/>
  <c r="J41" i="9" s="1"/>
  <c r="I23" i="9"/>
  <c r="J23" i="9" s="1"/>
  <c r="I8" i="9"/>
  <c r="J8" i="9" s="1"/>
  <c r="M8" i="9" s="1"/>
  <c r="I16" i="9"/>
  <c r="I24" i="9"/>
  <c r="I29" i="9"/>
  <c r="J29" i="9" s="1"/>
  <c r="I37" i="9"/>
  <c r="J37" i="9" s="1"/>
  <c r="I45" i="9"/>
  <c r="J45" i="9" s="1"/>
  <c r="I53" i="9"/>
  <c r="J53" i="9" s="1"/>
  <c r="I61" i="9"/>
  <c r="I69" i="9"/>
  <c r="I77" i="9"/>
  <c r="I85" i="9"/>
  <c r="I93" i="9"/>
  <c r="I101" i="9"/>
  <c r="I109" i="9"/>
  <c r="I117" i="9"/>
  <c r="I125" i="9"/>
  <c r="I133" i="9"/>
  <c r="I141" i="9"/>
  <c r="I149" i="9"/>
  <c r="I157" i="9"/>
  <c r="I165" i="9"/>
  <c r="I173" i="9"/>
  <c r="I181" i="9"/>
  <c r="I189" i="9"/>
  <c r="I197" i="9"/>
  <c r="I205" i="9"/>
  <c r="I213" i="9"/>
  <c r="I221" i="9"/>
  <c r="I229" i="9"/>
  <c r="I237" i="9"/>
  <c r="I245" i="9"/>
  <c r="I253" i="9"/>
  <c r="I261" i="9"/>
  <c r="I269" i="9"/>
  <c r="I277" i="9"/>
  <c r="I285" i="9"/>
  <c r="I293" i="9"/>
  <c r="I301" i="9"/>
  <c r="I309" i="9"/>
  <c r="I317" i="9"/>
  <c r="I325" i="9"/>
  <c r="I9" i="9"/>
  <c r="J9" i="9" s="1"/>
  <c r="I17" i="9"/>
  <c r="J17" i="9" s="1"/>
  <c r="I30" i="9"/>
  <c r="J30" i="9" s="1"/>
  <c r="I38" i="9"/>
  <c r="J38" i="9" s="1"/>
  <c r="I46" i="9"/>
  <c r="J46" i="9" s="1"/>
  <c r="I54" i="9"/>
  <c r="J54" i="9" s="1"/>
  <c r="I62" i="9"/>
  <c r="I70" i="9"/>
  <c r="I78" i="9"/>
  <c r="I86" i="9"/>
  <c r="I94" i="9"/>
  <c r="I102" i="9"/>
  <c r="I110" i="9"/>
  <c r="I118" i="9"/>
  <c r="I126" i="9"/>
  <c r="I134" i="9"/>
  <c r="I142" i="9"/>
  <c r="I150" i="9"/>
  <c r="I158" i="9"/>
  <c r="I166" i="9"/>
  <c r="I174" i="9"/>
  <c r="I182" i="9"/>
  <c r="I190" i="9"/>
  <c r="I198" i="9"/>
  <c r="I206" i="9"/>
  <c r="I214" i="9"/>
  <c r="I222" i="9"/>
  <c r="I230" i="9"/>
  <c r="I238" i="9"/>
  <c r="I246" i="9"/>
  <c r="I254" i="9"/>
  <c r="I262" i="9"/>
  <c r="I270" i="9"/>
  <c r="I278" i="9"/>
  <c r="I286" i="9"/>
  <c r="I294" i="9"/>
  <c r="I302" i="9"/>
  <c r="I310" i="9"/>
  <c r="I318" i="9"/>
  <c r="I326" i="9"/>
  <c r="I11" i="9"/>
  <c r="J11" i="9" s="1"/>
  <c r="I10" i="9"/>
  <c r="J10" i="9" s="1"/>
  <c r="I18" i="9"/>
  <c r="J18" i="9" s="1"/>
  <c r="I31" i="9"/>
  <c r="J31" i="9" s="1"/>
  <c r="I39" i="9"/>
  <c r="J39" i="9" s="1"/>
  <c r="I47" i="9"/>
  <c r="J47" i="9" s="1"/>
  <c r="I55" i="9"/>
  <c r="J55" i="9" s="1"/>
  <c r="I63" i="9"/>
  <c r="I71" i="9"/>
  <c r="I79" i="9"/>
  <c r="I87" i="9"/>
  <c r="I95" i="9"/>
  <c r="I103" i="9"/>
  <c r="I111" i="9"/>
  <c r="I119" i="9"/>
  <c r="I127" i="9"/>
  <c r="I135" i="9"/>
  <c r="I143" i="9"/>
  <c r="I151" i="9"/>
  <c r="I159" i="9"/>
  <c r="I167" i="9"/>
  <c r="I175" i="9"/>
  <c r="I183" i="9"/>
  <c r="I191" i="9"/>
  <c r="I199" i="9"/>
  <c r="I207" i="9"/>
  <c r="I215" i="9"/>
  <c r="I223" i="9"/>
  <c r="I231" i="9"/>
  <c r="I239" i="9"/>
  <c r="I247" i="9"/>
  <c r="I255" i="9"/>
  <c r="I263" i="9"/>
  <c r="I271" i="9"/>
  <c r="I279" i="9"/>
  <c r="I287" i="9"/>
  <c r="I295" i="9"/>
  <c r="I303" i="9"/>
  <c r="I311" i="9"/>
  <c r="I319" i="9"/>
  <c r="I327" i="9"/>
  <c r="I19" i="9"/>
  <c r="J19" i="9" s="1"/>
  <c r="I40" i="9"/>
  <c r="J40" i="9" s="1"/>
  <c r="J3" i="9"/>
  <c r="I6" i="9"/>
  <c r="J6" i="9" s="1"/>
  <c r="M6" i="9" s="1"/>
  <c r="I14" i="9"/>
  <c r="J14" i="9" s="1"/>
  <c r="I22" i="9"/>
  <c r="J22" i="9" s="1"/>
  <c r="I27" i="9"/>
  <c r="J27" i="9" s="1"/>
  <c r="M27" i="9" s="1"/>
  <c r="I35" i="9"/>
  <c r="J35" i="9" s="1"/>
  <c r="I43" i="9"/>
  <c r="J43" i="9" s="1"/>
  <c r="I51" i="9"/>
  <c r="J51" i="9" s="1"/>
  <c r="I59" i="9"/>
  <c r="I67" i="9"/>
  <c r="I75" i="9"/>
  <c r="I83" i="9"/>
  <c r="I91" i="9"/>
  <c r="I99" i="9"/>
  <c r="I107" i="9"/>
  <c r="I115" i="9"/>
  <c r="I123" i="9"/>
  <c r="I131" i="9"/>
  <c r="I139" i="9"/>
  <c r="I147" i="9"/>
  <c r="I155" i="9"/>
  <c r="I163" i="9"/>
  <c r="I171" i="9"/>
  <c r="I179" i="9"/>
  <c r="I187" i="9"/>
  <c r="I195" i="9"/>
  <c r="I203" i="9"/>
  <c r="I211" i="9"/>
  <c r="I219" i="9"/>
  <c r="I227" i="9"/>
  <c r="I235" i="9"/>
  <c r="I243" i="9"/>
  <c r="I251" i="9"/>
  <c r="I259" i="9"/>
  <c r="I267" i="9"/>
  <c r="I275" i="9"/>
  <c r="I283" i="9"/>
  <c r="I291" i="9"/>
  <c r="I299" i="9"/>
  <c r="I307" i="9"/>
  <c r="I315" i="9"/>
  <c r="I323" i="9"/>
  <c r="J2" i="9"/>
  <c r="I312" i="9"/>
  <c r="I296" i="9"/>
  <c r="I280" i="9"/>
  <c r="I264" i="9"/>
  <c r="I248" i="9"/>
  <c r="I232" i="9"/>
  <c r="I216" i="9"/>
  <c r="I200" i="9"/>
  <c r="I184" i="9"/>
  <c r="I168" i="9"/>
  <c r="I152" i="9"/>
  <c r="I136" i="9"/>
  <c r="I120" i="9"/>
  <c r="I104" i="9"/>
  <c r="I88" i="9"/>
  <c r="I72" i="9"/>
  <c r="I56" i="9"/>
  <c r="J56" i="9" s="1"/>
  <c r="I36" i="9"/>
  <c r="J36" i="9" s="1"/>
  <c r="I21" i="9"/>
  <c r="AN31" i="9" l="1"/>
  <c r="B31" i="9"/>
  <c r="AN63" i="9"/>
  <c r="B63" i="9"/>
  <c r="AN95" i="9"/>
  <c r="B95" i="9"/>
  <c r="AN41" i="9"/>
  <c r="B41" i="9"/>
  <c r="AN26" i="9"/>
  <c r="B26" i="9"/>
  <c r="AN90" i="9"/>
  <c r="B90" i="9"/>
  <c r="AN24" i="9"/>
  <c r="B24" i="9"/>
  <c r="AN56" i="9"/>
  <c r="B56" i="9"/>
  <c r="AN88" i="9"/>
  <c r="B88" i="9"/>
  <c r="AN33" i="9"/>
  <c r="B33" i="9"/>
  <c r="AN89" i="9"/>
  <c r="B89" i="9"/>
  <c r="AN50" i="9"/>
  <c r="B50" i="9"/>
  <c r="AN27" i="9"/>
  <c r="B27" i="9"/>
  <c r="AN59" i="9"/>
  <c r="B59" i="9"/>
  <c r="AN91" i="9"/>
  <c r="B91" i="9"/>
  <c r="AN20" i="9"/>
  <c r="B20" i="9"/>
  <c r="I21" i="6" s="1"/>
  <c r="AN52" i="9"/>
  <c r="B52" i="9"/>
  <c r="AN84" i="9"/>
  <c r="B84" i="9"/>
  <c r="AN29" i="9"/>
  <c r="B29" i="9"/>
  <c r="AN61" i="9"/>
  <c r="B61" i="9"/>
  <c r="AN93" i="9"/>
  <c r="B93" i="9"/>
  <c r="AN22" i="9"/>
  <c r="B22" i="9"/>
  <c r="AN54" i="9"/>
  <c r="B54" i="9"/>
  <c r="AN86" i="9"/>
  <c r="B86" i="9"/>
  <c r="AN39" i="9"/>
  <c r="B39" i="9"/>
  <c r="AN71" i="9"/>
  <c r="B71" i="9"/>
  <c r="AN103" i="9"/>
  <c r="B103" i="9"/>
  <c r="AN57" i="9"/>
  <c r="B57" i="9"/>
  <c r="AN42" i="9"/>
  <c r="B42" i="9"/>
  <c r="AN32" i="9"/>
  <c r="B32" i="9"/>
  <c r="AN64" i="9"/>
  <c r="B64" i="9"/>
  <c r="AN96" i="9"/>
  <c r="B96" i="9"/>
  <c r="AN49" i="9"/>
  <c r="B49" i="9"/>
  <c r="AN105" i="9"/>
  <c r="B105" i="9"/>
  <c r="AN66" i="9"/>
  <c r="B66" i="9"/>
  <c r="AN35" i="9"/>
  <c r="B35" i="9"/>
  <c r="AN67" i="9"/>
  <c r="B67" i="9"/>
  <c r="AN99" i="9"/>
  <c r="B99" i="9"/>
  <c r="AN28" i="9"/>
  <c r="B28" i="9"/>
  <c r="AN60" i="9"/>
  <c r="B60" i="9"/>
  <c r="AN92" i="9"/>
  <c r="B92" i="9"/>
  <c r="AN37" i="9"/>
  <c r="B37" i="9"/>
  <c r="AN69" i="9"/>
  <c r="B69" i="9"/>
  <c r="AN101" i="9"/>
  <c r="B101" i="9"/>
  <c r="AN30" i="9"/>
  <c r="B30" i="9"/>
  <c r="AN62" i="9"/>
  <c r="B62" i="9"/>
  <c r="AN94" i="9"/>
  <c r="B94" i="9"/>
  <c r="AN15" i="9"/>
  <c r="B15" i="9"/>
  <c r="I16" i="6" s="1"/>
  <c r="AN47" i="9"/>
  <c r="B47" i="9"/>
  <c r="AN79" i="9"/>
  <c r="B79" i="9"/>
  <c r="AN73" i="9"/>
  <c r="B73" i="9"/>
  <c r="AN58" i="9"/>
  <c r="B58" i="9"/>
  <c r="AN40" i="9"/>
  <c r="B40" i="9"/>
  <c r="AN72" i="9"/>
  <c r="B72" i="9"/>
  <c r="AN104" i="9"/>
  <c r="B104" i="9"/>
  <c r="AN65" i="9"/>
  <c r="B65" i="9"/>
  <c r="AN18" i="9"/>
  <c r="B18" i="9"/>
  <c r="I19" i="6" s="1"/>
  <c r="AN82" i="9"/>
  <c r="B82" i="9"/>
  <c r="AN43" i="9"/>
  <c r="B43" i="9"/>
  <c r="AN75" i="9"/>
  <c r="B75" i="9"/>
  <c r="AN36" i="9"/>
  <c r="B36" i="9"/>
  <c r="AN68" i="9"/>
  <c r="B68" i="9"/>
  <c r="AN100" i="9"/>
  <c r="B100" i="9"/>
  <c r="AN45" i="9"/>
  <c r="B45" i="9"/>
  <c r="AN77" i="9"/>
  <c r="B77" i="9"/>
  <c r="AN6" i="9"/>
  <c r="B6" i="9"/>
  <c r="I7" i="6" s="1"/>
  <c r="AN38" i="9"/>
  <c r="B38" i="9"/>
  <c r="AN70" i="9"/>
  <c r="B70" i="9"/>
  <c r="AN102" i="9"/>
  <c r="B102" i="9"/>
  <c r="AN23" i="9"/>
  <c r="B23" i="9"/>
  <c r="AN55" i="9"/>
  <c r="B55" i="9"/>
  <c r="AN87" i="9"/>
  <c r="B87" i="9"/>
  <c r="AN25" i="9"/>
  <c r="B25" i="9"/>
  <c r="AN97" i="9"/>
  <c r="B97" i="9"/>
  <c r="AN74" i="9"/>
  <c r="B74" i="9"/>
  <c r="AN16" i="9"/>
  <c r="B16" i="9"/>
  <c r="I17" i="6" s="1"/>
  <c r="AN48" i="9"/>
  <c r="B48" i="9"/>
  <c r="AN80" i="9"/>
  <c r="B80" i="9"/>
  <c r="AN17" i="9"/>
  <c r="B17" i="9"/>
  <c r="I18" i="6" s="1"/>
  <c r="AN81" i="9"/>
  <c r="B81" i="9"/>
  <c r="AN34" i="9"/>
  <c r="B34" i="9"/>
  <c r="AN19" i="9"/>
  <c r="B19" i="9"/>
  <c r="I20" i="6" s="1"/>
  <c r="AN51" i="9"/>
  <c r="B51" i="9"/>
  <c r="AN83" i="9"/>
  <c r="B83" i="9"/>
  <c r="AN44" i="9"/>
  <c r="B44" i="9"/>
  <c r="AN76" i="9"/>
  <c r="B76" i="9"/>
  <c r="AN98" i="9"/>
  <c r="B98" i="9"/>
  <c r="AN21" i="9"/>
  <c r="B21" i="9"/>
  <c r="AN53" i="9"/>
  <c r="B53" i="9"/>
  <c r="AN85" i="9"/>
  <c r="B85" i="9"/>
  <c r="AN46" i="9"/>
  <c r="B46" i="9"/>
  <c r="AN78" i="9"/>
  <c r="B78" i="9"/>
  <c r="AN7" i="9"/>
  <c r="B7" i="9"/>
  <c r="I8" i="6" s="1"/>
  <c r="AN9" i="9"/>
  <c r="B9" i="9"/>
  <c r="I10" i="6" s="1"/>
  <c r="AN8" i="9"/>
  <c r="B8" i="9"/>
  <c r="I9" i="6" s="1"/>
  <c r="AN11" i="9"/>
  <c r="B11" i="9"/>
  <c r="I12" i="6" s="1"/>
  <c r="AN13" i="9"/>
  <c r="B13" i="9"/>
  <c r="I14" i="6" s="1"/>
  <c r="AN10" i="9"/>
  <c r="B10" i="9"/>
  <c r="I11" i="6" s="1"/>
  <c r="AN12" i="9"/>
  <c r="B12" i="9"/>
  <c r="I13" i="6" s="1"/>
  <c r="AN14" i="9"/>
  <c r="B14" i="9"/>
  <c r="I15" i="6" s="1"/>
  <c r="AN2" i="9"/>
  <c r="B2" i="9"/>
  <c r="I3" i="6" s="1"/>
  <c r="AN5" i="9"/>
  <c r="B5" i="9"/>
  <c r="I6" i="6" s="1"/>
  <c r="AN4" i="9"/>
  <c r="B4" i="9"/>
  <c r="I5" i="6" s="1"/>
  <c r="AN3" i="9"/>
  <c r="B3" i="9"/>
  <c r="I4" i="6" s="1"/>
  <c r="J28" i="9"/>
  <c r="J16" i="9"/>
  <c r="G22" i="2"/>
  <c r="H22" i="2" s="1"/>
  <c r="C14" i="2" s="1"/>
  <c r="J66" i="9"/>
  <c r="J21" i="9"/>
  <c r="J24" i="9"/>
  <c r="J75" i="9"/>
  <c r="M3" i="9"/>
  <c r="M2" i="9"/>
  <c r="E14" i="2" l="1"/>
  <c r="F14" i="2" l="1" a="1"/>
  <c r="F1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Dương Viết Hải</author>
    <author>tc={D5F57E96-C8D4-46EA-8E18-F3D9772818C2}</author>
    <author>tc={14AB6D42-95E0-4547-99FF-736D2BCD2C16}</author>
    <author>Le Anh Khoa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Nhập INDUSCODE và SI NAME</t>
        </r>
      </text>
    </comment>
    <comment ref="D7" authorId="1" shapeId="0" xr:uid="{00000000-0006-0000-0000-00000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Chỉ số này liên Hệ BDS để có
</t>
      </text>
    </comment>
    <comment ref="E7" authorId="2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Chỉ số này liên Hệ BDS để có</t>
      </text>
    </comment>
    <comment ref="I7" authorId="3" shapeId="0" xr:uid="{00000000-0006-0000-0000-000004000000}">
      <text>
        <r>
          <rPr>
            <b/>
            <sz val="9"/>
            <color indexed="81"/>
            <rFont val="Tahoma"/>
            <family val="2"/>
          </rPr>
          <t>Le Anh Khoa:</t>
        </r>
        <r>
          <rPr>
            <sz val="9"/>
            <color indexed="81"/>
            <rFont val="Tahoma"/>
            <family val="2"/>
          </rPr>
          <t xml:space="preserve">
Nhập : LV1
          LV2</t>
        </r>
      </text>
    </comment>
    <comment ref="E2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CUP: Check Upaid Sheet
(Copy File UNPAID của công ty gửi vào Sheet UNPAID_CONTRACT)</t>
        </r>
      </text>
    </comment>
    <comment ref="F2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CUP: Check Upaid Sheet
(Copy File UNPAID của công ty gửi vào Sheet UNPAID_CONTRACT)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Dương Viết Hải</author>
  </authors>
  <commentList>
    <comment ref="A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Phải giải ngân trong tháng
- Hồ sơ nào làm trong ngày lễ thì phải để ngày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<sst xmlns="http://schemas.openxmlformats.org/spreadsheetml/2006/main" count="929" uniqueCount="276">
  <si>
    <t>TỔNG INCENTIVE</t>
  </si>
  <si>
    <t>THƯỞNG ĐẠT TARGET</t>
  </si>
  <si>
    <t>THƯỞNG DS THEO HS RISK</t>
  </si>
  <si>
    <t>THƯỞNG BẢO HIỂM</t>
  </si>
  <si>
    <t>% GIẢI NGÂN</t>
  </si>
  <si>
    <t>MỨC THƯỞNG</t>
  </si>
  <si>
    <t>HỆ SỐ</t>
  </si>
  <si>
    <t>KÊNH</t>
  </si>
  <si>
    <t>PR3</t>
  </si>
  <si>
    <t>PR6</t>
  </si>
  <si>
    <t>HỆ SỐ RISK</t>
  </si>
  <si>
    <t>DL</t>
  </si>
  <si>
    <t>TÊN KHÁCH HÀNG</t>
  </si>
  <si>
    <t>SỐ HD</t>
  </si>
  <si>
    <t>KHOẢN VAY</t>
  </si>
  <si>
    <t>MÃ SCHEME</t>
  </si>
  <si>
    <t>EDCLNHT0IR0DPA</t>
  </si>
  <si>
    <t>EDCLHT0IR30DPA</t>
  </si>
  <si>
    <t>EDNHT699IR1A</t>
  </si>
  <si>
    <t>EDCLHT0IR15DPA</t>
  </si>
  <si>
    <t>EDHT693IRA</t>
  </si>
  <si>
    <t>EDSSTVKEYA</t>
  </si>
  <si>
    <t>Kỳ hạn của hợp đồng</t>
  </si>
  <si>
    <t>Tỷ lệ thưởng</t>
  </si>
  <si>
    <t>&lt;</t>
  </si>
  <si>
    <t>&gt;=</t>
  </si>
  <si>
    <t>&gt;=7.5</t>
  </si>
  <si>
    <t>IR0</t>
  </si>
  <si>
    <t>EDCLHT0IR15DP</t>
  </si>
  <si>
    <t>CHO LON HT 0IR 6M 15DP NoLI P1AB00E</t>
  </si>
  <si>
    <t>CHO LON HT 0IR 6M 15DP LI P1AB00C</t>
  </si>
  <si>
    <t>EDCLHT0IR30DP</t>
  </si>
  <si>
    <t>CHO LON HT 0IR 6M 30DP NoLI P1AB00E</t>
  </si>
  <si>
    <t>CHO LON HT 0IR 6M 30DP LI P1AB00C</t>
  </si>
  <si>
    <t>EDCLHT0IR50DP</t>
  </si>
  <si>
    <t>CHO LON HT 0IR 6M 50DP NoLI P1AB00E</t>
  </si>
  <si>
    <t>EDCLHT0IR50DPA</t>
  </si>
  <si>
    <t>CHO LON HT 0IR 6M 50DP LI P1AB00C</t>
  </si>
  <si>
    <t>PR1</t>
  </si>
  <si>
    <t>EDCLHT224IR</t>
  </si>
  <si>
    <t>CL HT 465IR 8M 10DP NoLI P0AA75D</t>
  </si>
  <si>
    <t>EDCLHT224IRA</t>
  </si>
  <si>
    <t>CL HT 465IR 8M 10DP LI P0AA75D</t>
  </si>
  <si>
    <t>EDCLNHT0IR0DP</t>
  </si>
  <si>
    <t>CHO LON NHT 0IR 6M 0DP NoLI P1AA25D</t>
  </si>
  <si>
    <t>CHO LON NHT 0IR 6M 0DP LI P1AA25C</t>
  </si>
  <si>
    <t>EDCLNHT0IR30DP</t>
  </si>
  <si>
    <t>CHO LON NHT 0IR 6M 30DP NoLI P1AB00E</t>
  </si>
  <si>
    <t>EDCLNHT0IR30DPA</t>
  </si>
  <si>
    <t>CHO LON NHT 0IR 6M 30DP LI P1AB00D</t>
  </si>
  <si>
    <t>EDCLNHT0IRNLI</t>
  </si>
  <si>
    <t>EDCLNHT224IR</t>
  </si>
  <si>
    <t>CL NHT 465IR 8M 0DP NoLI P0AA75D</t>
  </si>
  <si>
    <t>EDCLNHT224IRA</t>
  </si>
  <si>
    <t>CL NHT 465IR 8M 0DP LI P0AA75D</t>
  </si>
  <si>
    <t>FT1</t>
  </si>
  <si>
    <t>EDFTHT133IRA</t>
  </si>
  <si>
    <t>FT HT 2833IR 9M 30DP LI S0AA50E</t>
  </si>
  <si>
    <t>EDFTNHT133IRA</t>
  </si>
  <si>
    <t>FT NHT 2833IR 9M 20DP LI S0AA50E</t>
  </si>
  <si>
    <t>ST1</t>
  </si>
  <si>
    <t>EDHT693IR</t>
  </si>
  <si>
    <t>ED HT 693IR DP10 8M NoLI S0AA15B</t>
  </si>
  <si>
    <t>ED HT 693IR DP10 8M LI S0AA15A</t>
  </si>
  <si>
    <t>EDIP73IR1</t>
  </si>
  <si>
    <t>ED IP 693IR DP30 8M NoLI S0AA15B</t>
  </si>
  <si>
    <t>EDIP73IR1A</t>
  </si>
  <si>
    <t>ED IP 693IR DP30 8M LI S0AA15A</t>
  </si>
  <si>
    <t>EDKEYNHT224IR</t>
  </si>
  <si>
    <t>ED NHT 465IR 9M 0DP NoLI P0AA75D</t>
  </si>
  <si>
    <t>EDKEYNHT224IRA</t>
  </si>
  <si>
    <t>ED NHT 465IR 9M 0DP LI P0AA75D</t>
  </si>
  <si>
    <t>EDNHT699IR1</t>
  </si>
  <si>
    <t>ED NHT 693IR 0DP 9M NoLI S0AA02B</t>
  </si>
  <si>
    <t>ED NHT 693IR 0DP 9M LI S0AA02A</t>
  </si>
  <si>
    <t>RF1</t>
  </si>
  <si>
    <t>EDRFALL316IR</t>
  </si>
  <si>
    <t>ED RF ALL 6399IR 30DP 9M NoLI S0AA01D</t>
  </si>
  <si>
    <t>EDRFALL316IRA</t>
  </si>
  <si>
    <t>ED RF ALL 6399IR 30DP 9M LI S0AA01D</t>
  </si>
  <si>
    <t>EDRFDV316IR</t>
  </si>
  <si>
    <t>ED RF DV 6399IR 0DP 9M NoLI S0AA01D</t>
  </si>
  <si>
    <t>EDRFDV316IRA</t>
  </si>
  <si>
    <t>ED RF DV 6399IR 0DP 9M LI S0AA01D</t>
  </si>
  <si>
    <t>EDRFHT316IR</t>
  </si>
  <si>
    <t>ED RF HT 6399IR 10DP 9M NoLI S0AA01D</t>
  </si>
  <si>
    <t>EDRFHT316IRA</t>
  </si>
  <si>
    <t>ED RF HT 6399IR 10DP 9M LI S0AA01C</t>
  </si>
  <si>
    <t>EDRFNHT316IR</t>
  </si>
  <si>
    <t>ED RF NHT 6399IR 0DP 9M NoLI S0AA01D</t>
  </si>
  <si>
    <t>EDRFNHT316IRA</t>
  </si>
  <si>
    <t>ED RF NHT 6399IR 0DP 9M LI S0AA01D</t>
  </si>
  <si>
    <t>EDSSTV65ML1</t>
  </si>
  <si>
    <t>SAMSUNG TV 0IR 65MLDP 6M NoLI P1AA00E</t>
  </si>
  <si>
    <t>EDSSTV65ML1A</t>
  </si>
  <si>
    <t>SAMSUNG TV 0IR 65MLDP 6M LI P1AA00D</t>
  </si>
  <si>
    <t>EDSSTV75ML1</t>
  </si>
  <si>
    <t>SAMSUNG TV 0IR 75MLDP 6M NoLI P1AA00E</t>
  </si>
  <si>
    <t>EDSSTV75ML1A</t>
  </si>
  <si>
    <t>SAMSUNG TV 0IR 75MLDP 6M LI P1AA00D</t>
  </si>
  <si>
    <t>EDSSTVKEY</t>
  </si>
  <si>
    <t>KEY SS TV 0IR 30DP 6M NoLI P1AA00E</t>
  </si>
  <si>
    <t>EDSSTVKEY0DP</t>
  </si>
  <si>
    <t>SAMSUNG TV 0IR 0DP 6M NoLI P1AA00E</t>
  </si>
  <si>
    <t>EDSSTVKEY0DPA</t>
  </si>
  <si>
    <t>SAMSUNG TV 0IR 0DP 6M LI P1AA00D</t>
  </si>
  <si>
    <t>KEY SS TV 0IR 30DP 6M LI P1AA00D</t>
  </si>
  <si>
    <t>EDSTDDV214IR</t>
  </si>
  <si>
    <t>STANDARD DV LOW IR 9M NoLI S0AA01E</t>
  </si>
  <si>
    <t>EDSTDDV214IRA</t>
  </si>
  <si>
    <t>STANDARD DV LOW IR 9M LI S0AA01D</t>
  </si>
  <si>
    <t>EDSTDDV266IR</t>
  </si>
  <si>
    <t>STD DV LOW IR 6M NoLI S0AA01C</t>
  </si>
  <si>
    <t>EDSTDDV266IRA</t>
  </si>
  <si>
    <t>STD DV LOW IR 6M LI S0AA01B</t>
  </si>
  <si>
    <t>EDSTDDV295IR</t>
  </si>
  <si>
    <t>STD DV 60IR 0DP 6M NoLI S0AA01B</t>
  </si>
  <si>
    <t>EDSTDDV295IRA</t>
  </si>
  <si>
    <t>STD DV 60IR 0DP 6M LI S0AA01B</t>
  </si>
  <si>
    <t>EDSTDHT214IR</t>
  </si>
  <si>
    <t>STANDARD HT LOW IR 9M NoLI S0AA01E</t>
  </si>
  <si>
    <t>EDSTDHT214IRA</t>
  </si>
  <si>
    <t>STANDARD HT LOW IR 9M LI S0AA01D</t>
  </si>
  <si>
    <t>EDSTDHT266IR</t>
  </si>
  <si>
    <t>STD HT LOW IR 6M NoLI S0AA01C</t>
  </si>
  <si>
    <t>EDSTDHT266IRA</t>
  </si>
  <si>
    <t>STD HT LOW IR 6M LI S0AA01B</t>
  </si>
  <si>
    <t>EDSTDHT295IR</t>
  </si>
  <si>
    <t>STD HT 60IR 10DP 6M NoLI S0AA01B</t>
  </si>
  <si>
    <t>EDSTDHT295IRA</t>
  </si>
  <si>
    <t>STD HT 60IR 10DP 6M LI S0AA01B</t>
  </si>
  <si>
    <t>EDSTDNHT214IR</t>
  </si>
  <si>
    <t>STANDARD NHT LOW IR 9M NoLI S0AA01E</t>
  </si>
  <si>
    <t>EDSTDNHT214IRA</t>
  </si>
  <si>
    <t>STANDARD NHT LOW IR 9M LI S0AA01D</t>
  </si>
  <si>
    <t>EDSTDNHT266IR</t>
  </si>
  <si>
    <t>STD NHT LOW IR 6M NoLI S0AA01C</t>
  </si>
  <si>
    <t>EDSTDNHT266IRA</t>
  </si>
  <si>
    <t>STD NHT LOW IR 6M LI S0AA01B</t>
  </si>
  <si>
    <t>EDSTDNHT295IR</t>
  </si>
  <si>
    <t>STD NHT 60IR 0DP 6M NoLI S0AA01B</t>
  </si>
  <si>
    <t>EDSTDNHT295IRA</t>
  </si>
  <si>
    <t>STD NHT 60IR 0DP 6M LI S0AA01B</t>
  </si>
  <si>
    <t>CHI TIEU</t>
  </si>
  <si>
    <t>TIEN THUONG</t>
  </si>
  <si>
    <t>%ht</t>
  </si>
  <si>
    <t>HS</t>
  </si>
  <si>
    <t>bao hiem</t>
  </si>
  <si>
    <t>ky han</t>
  </si>
  <si>
    <t>dsgn</t>
  </si>
  <si>
    <t>Bao HiemED</t>
  </si>
  <si>
    <t>BH DL</t>
  </si>
  <si>
    <t>BH ED</t>
  </si>
  <si>
    <t>Tinh KYHTB</t>
  </si>
  <si>
    <t>Scheme Group</t>
  </si>
  <si>
    <t>KV ED</t>
  </si>
  <si>
    <t>KVDL</t>
  </si>
  <si>
    <t>Diem Scheme</t>
  </si>
  <si>
    <t>A</t>
  </si>
  <si>
    <t>B</t>
  </si>
  <si>
    <t>C</t>
  </si>
  <si>
    <t>D</t>
  </si>
  <si>
    <t>E</t>
  </si>
  <si>
    <t>F</t>
  </si>
  <si>
    <t>G</t>
  </si>
  <si>
    <t>H</t>
  </si>
  <si>
    <t>DIEM SCHEME</t>
  </si>
  <si>
    <t>DAT CHI TIÊU</t>
  </si>
  <si>
    <t>THƯỞNG LỄ</t>
  </si>
  <si>
    <t>CT4CL</t>
  </si>
  <si>
    <t>HS TT SCHEME</t>
  </si>
  <si>
    <t>HS BANG A</t>
  </si>
  <si>
    <t>DOANH SO TINH THUONG ED</t>
  </si>
  <si>
    <t>DOANH SO TINH THUONG DL</t>
  </si>
  <si>
    <t>BẢO HIỂM</t>
  </si>
  <si>
    <t>NGÀY LÀM HD</t>
  </si>
  <si>
    <t>ED026292276</t>
  </si>
  <si>
    <t>NGUYỄN ĐẶNG HOÀNG GIA</t>
  </si>
  <si>
    <t>Y</t>
  </si>
  <si>
    <t>N</t>
  </si>
  <si>
    <t>Bảo Hiểm
( Có=Y
Không= N)</t>
  </si>
  <si>
    <t xml:space="preserve">NHẬP THÔNG TIN </t>
  </si>
  <si>
    <t>Hãng 0%</t>
  </si>
  <si>
    <t>Chợ Lớn _CT1</t>
  </si>
  <si>
    <t>Local_0%</t>
  </si>
  <si>
    <t>Local_1%</t>
  </si>
  <si>
    <t>Chợ Lớn _CT2</t>
  </si>
  <si>
    <t>Chợ Lớn _CT3</t>
  </si>
  <si>
    <t>Chợ Lớn _CT4</t>
  </si>
  <si>
    <t>Scheme Còn Lại</t>
  </si>
  <si>
    <t>Nguyễn Kim 0%</t>
  </si>
  <si>
    <t xml:space="preserve">HE SO </t>
  </si>
  <si>
    <t xml:space="preserve">BAO HIEM </t>
  </si>
  <si>
    <t>Thời Hạn</t>
  </si>
  <si>
    <t>schemes</t>
  </si>
  <si>
    <t>Hệ Số Kỳ Hạn</t>
  </si>
  <si>
    <t>%Tính Incneitve</t>
  </si>
  <si>
    <t xml:space="preserve">Kỳ hạn ASM </t>
  </si>
  <si>
    <t>Khoan vay</t>
  </si>
  <si>
    <t xml:space="preserve">Thuong truc tiếp </t>
  </si>
  <si>
    <t>TỔNG THƯỞNG</t>
  </si>
  <si>
    <t>2.19%- 6-8 Tháng</t>
  </si>
  <si>
    <t>1.33% - GV / BS</t>
  </si>
  <si>
    <t>Có Thưởng</t>
  </si>
  <si>
    <t>Không Thưởng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</si>
  <si>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</si>
  <si>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</si>
  <si>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</si>
  <si>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</si>
  <si>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</si>
  <si>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</si>
  <si>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</si>
  <si>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</si>
  <si>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</si>
  <si>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</si>
  <si>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 xml:space="preserve">Số Lượng BH ED </t>
  </si>
  <si>
    <t>Số Lượng BH DL</t>
  </si>
  <si>
    <t>Chợ Lớn _CT6 _0.5%</t>
  </si>
  <si>
    <t>Chợ Lớn _CT9_ 1%</t>
  </si>
  <si>
    <t>Chợ Lớn _CT2 _0Đ/0%</t>
  </si>
  <si>
    <t>Chợ Lớn _CT1_ 30%/0%</t>
  </si>
  <si>
    <t>Chợ Lớn _CT4_30%/0%</t>
  </si>
  <si>
    <t>Chợ Lớn _CT3-_30%/0%</t>
  </si>
  <si>
    <t>LÊ HÀ TRIỀU</t>
  </si>
  <si>
    <t>Hệ Số Kỳ Hạn Tháng</t>
  </si>
  <si>
    <t>Hệ Số %</t>
  </si>
  <si>
    <t>Schemes</t>
  </si>
  <si>
    <t xml:space="preserve">Kỳ hạn tháng </t>
  </si>
  <si>
    <t xml:space="preserve">Thưởng Doanh Số </t>
  </si>
  <si>
    <t>Bao Hiem</t>
  </si>
  <si>
    <t>HE SO BH</t>
  </si>
  <si>
    <t>Hệ Số  (%)</t>
  </si>
  <si>
    <t>HS Tháng</t>
  </si>
  <si>
    <t>Thưởng Doanh số</t>
  </si>
  <si>
    <t>Hệ Số Rủi Ro</t>
  </si>
  <si>
    <t xml:space="preserve">THƯỞNG DOANH SỐ </t>
  </si>
  <si>
    <t>THƯỞNG DOANH SỐ THEO HỆ SỐ RISK</t>
  </si>
  <si>
    <t>TARGET ED</t>
  </si>
  <si>
    <t>DOANH SỐ ED</t>
  </si>
  <si>
    <t>TARGET DL</t>
  </si>
  <si>
    <t xml:space="preserve">Hệ Số Đạt chỉ tiêu </t>
  </si>
  <si>
    <t>%CT ED</t>
  </si>
  <si>
    <t>DS ED</t>
  </si>
  <si>
    <t>DS DL</t>
  </si>
  <si>
    <t>Target ED</t>
  </si>
  <si>
    <t xml:space="preserve">Target DL </t>
  </si>
  <si>
    <t>%CT TỔNG</t>
  </si>
  <si>
    <t>=IF(AND(J45&lt;50%,J46&lt;75%),0,IF(AND(J45&gt;=50%,J45&lt;75%,J46&lt;75%),0,IF(AND(J45&gt;=75%,J45&lt;90%,J46&lt;75%),0,IF(AND(J45&gt;=90%,J46&lt;75%),0,IF(AND(J45&lt;50%,J46&gt;=75%,J46&lt;90%),0,IF(AND(J45&gt;=50%,J45&lt;75%,J46&gt;=75%,J46&lt;90%),0.6,IF(AND(J45&gt;=75%,J45,90%,J46&gt;=75%,J46&lt;90%),0.7,IF(AND(J45&gt;=90%,</t>
  </si>
  <si>
    <t xml:space="preserve">Hệ Số Đạt Chỉ tiêu </t>
  </si>
  <si>
    <t>PR3 DL</t>
  </si>
  <si>
    <t>PR6 DL</t>
  </si>
  <si>
    <t>TARGET Dl</t>
  </si>
  <si>
    <t>GIẢI NGÂN DL</t>
  </si>
  <si>
    <t>DL031137755</t>
  </si>
  <si>
    <t>HỆ SỐ ĐẠT CHỈ TIÊU CT NGÀNH HÀNG CHÍNH VÀ TỔNG</t>
  </si>
  <si>
    <t>THƯỞNG ĐẠT CHỈ TIÊU</t>
  </si>
  <si>
    <t xml:space="preserve">THƯỞNG DOANH SỐ THEO HỆ SỐ RỦI RO </t>
  </si>
  <si>
    <t>KỲ HẠN</t>
  </si>
  <si>
    <t>DL031137756</t>
  </si>
  <si>
    <t>DL031137757</t>
  </si>
  <si>
    <t>DL031137758</t>
  </si>
  <si>
    <t>DL031137759</t>
  </si>
  <si>
    <t>DL031137760</t>
  </si>
  <si>
    <t>DL031137761</t>
  </si>
  <si>
    <t>DL031137762</t>
  </si>
  <si>
    <t>DL031137763</t>
  </si>
  <si>
    <t>DL031137764</t>
  </si>
  <si>
    <t>DL031137765</t>
  </si>
  <si>
    <t>DL031137766</t>
  </si>
  <si>
    <t>DL031137767</t>
  </si>
  <si>
    <t>DL031137768</t>
  </si>
  <si>
    <t>DL031137769</t>
  </si>
  <si>
    <t>DL031137770</t>
  </si>
  <si>
    <t>DL031137771</t>
  </si>
  <si>
    <t>DL031137772</t>
  </si>
  <si>
    <t>DL031137773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</si>
</sst>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\-??_);_(@_)"/>
    <numFmt numFmtId="165" formatCode="0.0"/>
    <numFmt numFmtId="166" formatCode="#,###"/>
    <numFmt numFmtId="167" formatCode="_(* #,##0_);_(* \(#,##0\);_(* &quot;-&quot;??_);_(@_)"/>
    <numFmt numFmtId="168" formatCode="_(* #,##0.0_);_(* \(#,##0.0\);_(* &quot;-&quot;??_);_(@_)"/>
  </numFmts>
  <fonts count="24" x14ac:knownFonts="1">
    <font>
      <sz val="11"/>
      <color rgb="FF000000"/>
      <name val="Calibri"/>
      <family val="2"/>
    </font>
    <font>
      <i/>
      <sz val="10"/>
      <color rgb="FF00008B"/>
      <name val="Times New Roman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6"/>
      <color theme="0"/>
      <name val="Calibri"/>
      <family val="2"/>
    </font>
    <font>
      <sz val="11"/>
      <color theme="1"/>
      <name val="Calibri"/>
      <family val="2"/>
    </font>
    <font>
      <b/>
      <i/>
      <sz val="15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Calibri"/>
      <family val="2"/>
    </font>
    <font>
      <sz val="8"/>
      <name val="Calibri"/>
      <family val="2"/>
    </font>
    <font>
      <b/>
      <sz val="15"/>
      <color theme="3"/>
      <name val="Calibri"/>
      <family val="2"/>
    </font>
    <font>
      <sz val="15"/>
      <color rgb="FF000000"/>
      <name val="Calibri"/>
      <family val="2"/>
    </font>
    <font>
      <sz val="15"/>
      <color rgb="FFFF0000"/>
      <name val="Calibri"/>
      <family val="2"/>
    </font>
    <font>
      <b/>
      <sz val="15"/>
      <color rgb="FFFF0000"/>
      <name val="Calibri"/>
      <family val="2"/>
    </font>
    <font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5"/>
      <name val="Arial Nova Cond"/>
      <family val="2"/>
    </font>
    <font>
      <b/>
      <u val="double"/>
      <sz val="16"/>
      <color rgb="FFFF0000"/>
      <name val="Calibri"/>
      <family val="2"/>
    </font>
    <font>
      <b/>
      <sz val="16"/>
      <color rgb="FF00008B"/>
      <name val="Times New Roman"/>
      <family val="2"/>
    </font>
    <font>
      <i/>
      <sz val="16"/>
      <color rgb="FF00008B"/>
      <name val="Times New Roman"/>
      <family val="2"/>
    </font>
  </fonts>
  <fills count="11">
    <fill>
      <patternFill patternType="none"/>
    </fill>
    <fill>
      <patternFill patternType="gray125"/>
    </fill>
    <fill>
      <patternFill patternType="solid">
        <fgColor rgb="FF833B0C"/>
        <bgColor indexed="64"/>
      </patternFill>
    </fill>
    <fill>
      <patternFill patternType="solid">
        <fgColor rgb="FFF4AF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EFF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DC3E6"/>
      </patternFill>
    </fill>
    <fill>
      <patternFill patternType="solid">
        <fgColor theme="4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Border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2" xfId="0" applyBorder="1"/>
    <xf numFmtId="167" fontId="0" fillId="0" borderId="0" xfId="1" applyNumberFormat="1" applyFont="1"/>
    <xf numFmtId="167" fontId="0" fillId="0" borderId="0" xfId="1" applyNumberFormat="1" applyFont="1" applyProtection="1"/>
    <xf numFmtId="0" fontId="0" fillId="0" borderId="0" xfId="0" applyProtection="1">
      <protection locked="0"/>
    </xf>
    <xf numFmtId="166" fontId="0" fillId="0" borderId="0" xfId="0" applyNumberFormat="1" applyProtection="1">
      <protection locked="0"/>
    </xf>
    <xf numFmtId="0" fontId="0" fillId="0" borderId="0" xfId="0" applyBorder="1" applyProtection="1">
      <protection locked="0"/>
    </xf>
    <xf numFmtId="166" fontId="0" fillId="0" borderId="0" xfId="0" applyNumberFormat="1" applyBorder="1" applyProtection="1">
      <protection locked="0"/>
    </xf>
    <xf numFmtId="0" fontId="0" fillId="5" borderId="0" xfId="0" applyFill="1" applyAlignment="1">
      <alignment horizontal="center" vertical="center" wrapText="1"/>
    </xf>
    <xf numFmtId="0" fontId="0" fillId="5" borderId="0" xfId="0" applyFill="1"/>
    <xf numFmtId="0" fontId="0" fillId="5" borderId="0" xfId="0" applyFill="1" applyBorder="1"/>
    <xf numFmtId="43" fontId="0" fillId="5" borderId="0" xfId="0" applyNumberFormat="1" applyFill="1"/>
    <xf numFmtId="0" fontId="0" fillId="0" borderId="25" xfId="0" applyBorder="1" applyAlignment="1" applyProtection="1">
      <alignment horizontal="center" vertical="center" wrapText="1"/>
      <protection locked="0"/>
    </xf>
    <xf numFmtId="166" fontId="0" fillId="0" borderId="25" xfId="0" applyNumberFormat="1" applyBorder="1" applyAlignment="1" applyProtection="1">
      <alignment horizontal="center" vertical="center" wrapText="1"/>
      <protection locked="0"/>
    </xf>
    <xf numFmtId="14" fontId="0" fillId="0" borderId="0" xfId="0" applyNumberFormat="1" applyBorder="1" applyProtection="1">
      <protection locked="0"/>
    </xf>
    <xf numFmtId="167" fontId="0" fillId="5" borderId="0" xfId="1" applyNumberFormat="1" applyFont="1" applyFill="1"/>
    <xf numFmtId="1" fontId="0" fillId="0" borderId="0" xfId="0" applyNumberFormat="1"/>
    <xf numFmtId="14" fontId="0" fillId="0" borderId="0" xfId="0" applyNumberForma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Border="1"/>
    <xf numFmtId="0" fontId="6" fillId="9" borderId="22" xfId="0" applyFont="1" applyFill="1" applyBorder="1" applyAlignment="1" applyProtection="1">
      <alignment horizontal="center" vertic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43" fontId="0" fillId="0" borderId="0" xfId="0" applyNumberFormat="1"/>
    <xf numFmtId="0" fontId="0" fillId="0" borderId="0" xfId="0" applyProtection="1">
      <protection hidden="1"/>
    </xf>
    <xf numFmtId="0" fontId="0" fillId="0" borderId="13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0" applyFont="1"/>
    <xf numFmtId="0" fontId="9" fillId="2" borderId="16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10" fillId="3" borderId="21" xfId="0" applyFont="1" applyFill="1" applyBorder="1" applyAlignment="1">
      <alignment vertical="center" wrapText="1"/>
    </xf>
    <xf numFmtId="0" fontId="10" fillId="3" borderId="20" xfId="0" applyFont="1" applyFill="1" applyBorder="1" applyAlignment="1">
      <alignment vertical="center" wrapText="1"/>
    </xf>
    <xf numFmtId="0" fontId="10" fillId="3" borderId="19" xfId="0" applyFont="1" applyFill="1" applyBorder="1" applyAlignment="1">
      <alignment vertical="center" wrapText="1"/>
    </xf>
    <xf numFmtId="0" fontId="3" fillId="2" borderId="18" xfId="0" applyFont="1" applyFill="1" applyBorder="1" applyAlignment="1">
      <alignment vertical="top" wrapText="1"/>
    </xf>
    <xf numFmtId="0" fontId="10" fillId="3" borderId="14" xfId="0" applyFont="1" applyFill="1" applyBorder="1" applyAlignment="1">
      <alignment horizontal="right" vertical="center" wrapText="1"/>
    </xf>
    <xf numFmtId="0" fontId="10" fillId="3" borderId="18" xfId="0" applyFont="1" applyFill="1" applyBorder="1" applyAlignment="1">
      <alignment horizontal="center" vertical="center" wrapText="1"/>
    </xf>
    <xf numFmtId="9" fontId="11" fillId="0" borderId="14" xfId="0" applyNumberFormat="1" applyFont="1" applyBorder="1" applyAlignment="1">
      <alignment horizontal="right" vertical="center" wrapText="1"/>
    </xf>
    <xf numFmtId="9" fontId="11" fillId="0" borderId="0" xfId="0" applyNumberFormat="1" applyFont="1" applyBorder="1" applyAlignment="1">
      <alignment horizontal="right" vertical="center" wrapText="1"/>
    </xf>
    <xf numFmtId="167" fontId="3" fillId="0" borderId="0" xfId="1" applyNumberFormat="1" applyFont="1"/>
    <xf numFmtId="0" fontId="3" fillId="0" borderId="22" xfId="0" applyFont="1" applyBorder="1"/>
    <xf numFmtId="0" fontId="8" fillId="0" borderId="0" xfId="0" applyFont="1"/>
    <xf numFmtId="0" fontId="8" fillId="0" borderId="22" xfId="0" applyFont="1" applyBorder="1"/>
    <xf numFmtId="0" fontId="0" fillId="0" borderId="22" xfId="0" applyBorder="1" applyProtection="1">
      <protection locked="0"/>
    </xf>
    <xf numFmtId="166" fontId="0" fillId="0" borderId="22" xfId="0" applyNumberForma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166" fontId="0" fillId="0" borderId="0" xfId="0" applyNumberFormat="1"/>
    <xf numFmtId="167" fontId="0" fillId="5" borderId="15" xfId="1" applyNumberFormat="1" applyFont="1" applyFill="1" applyBorder="1"/>
    <xf numFmtId="9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4" fontId="6" fillId="10" borderId="25" xfId="0" applyNumberFormat="1" applyFont="1" applyFill="1" applyBorder="1" applyAlignment="1" applyProtection="1">
      <alignment horizontal="center" vertical="center" wrapText="1"/>
      <protection locked="0"/>
    </xf>
    <xf numFmtId="0" fontId="6" fillId="5" borderId="0" xfId="0" applyFont="1" applyFill="1" applyAlignment="1">
      <alignment horizontal="center" vertical="center" wrapText="1"/>
    </xf>
    <xf numFmtId="0" fontId="6" fillId="10" borderId="22" xfId="0" applyFont="1" applyFill="1" applyBorder="1" applyAlignment="1">
      <alignment horizontal="center" vertical="center" wrapText="1"/>
    </xf>
    <xf numFmtId="9" fontId="6" fillId="10" borderId="22" xfId="0" applyNumberFormat="1" applyFont="1" applyFill="1" applyBorder="1" applyAlignment="1">
      <alignment horizontal="center" vertical="center"/>
    </xf>
    <xf numFmtId="166" fontId="3" fillId="0" borderId="0" xfId="0" applyNumberFormat="1" applyFont="1" applyBorder="1" applyProtection="1">
      <protection locked="0"/>
    </xf>
    <xf numFmtId="166" fontId="3" fillId="0" borderId="25" xfId="0" applyNumberFormat="1" applyFont="1" applyBorder="1" applyAlignment="1" applyProtection="1">
      <alignment horizontal="center" vertical="center" wrapText="1"/>
      <protection locked="0"/>
    </xf>
    <xf numFmtId="14" fontId="12" fillId="10" borderId="25" xfId="0" applyNumberFormat="1" applyFont="1" applyFill="1" applyBorder="1" applyAlignment="1" applyProtection="1">
      <alignment horizontal="center" vertical="center" wrapText="1"/>
      <protection locked="0"/>
    </xf>
    <xf numFmtId="166" fontId="3" fillId="0" borderId="0" xfId="0" applyNumberFormat="1" applyFont="1" applyProtection="1">
      <protection locked="0"/>
    </xf>
    <xf numFmtId="14" fontId="0" fillId="0" borderId="0" xfId="0" applyNumberFormat="1" applyBorder="1" applyAlignment="1" applyProtection="1">
      <alignment horizontal="center" vertical="center"/>
      <protection locked="0"/>
    </xf>
    <xf numFmtId="14" fontId="0" fillId="0" borderId="22" xfId="0" applyNumberFormat="1" applyBorder="1" applyAlignment="1" applyProtection="1">
      <alignment horizontal="center" vertical="center"/>
      <protection locked="0"/>
    </xf>
    <xf numFmtId="14" fontId="0" fillId="0" borderId="25" xfId="0" applyNumberFormat="1" applyBorder="1" applyAlignment="1" applyProtection="1">
      <alignment horizontal="center" vertical="center" wrapText="1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8" fillId="0" borderId="22" xfId="0" applyFont="1" applyBorder="1" applyAlignment="1">
      <alignment horizontal="right"/>
    </xf>
    <xf numFmtId="9" fontId="0" fillId="0" borderId="0" xfId="2" applyFont="1" applyAlignment="1">
      <alignment horizontal="center"/>
    </xf>
    <xf numFmtId="0" fontId="8" fillId="0" borderId="22" xfId="0" applyFont="1" applyBorder="1" applyAlignment="1">
      <alignment horizontal="center"/>
    </xf>
    <xf numFmtId="167" fontId="0" fillId="0" borderId="0" xfId="0" applyNumberFormat="1"/>
    <xf numFmtId="168" fontId="0" fillId="4" borderId="15" xfId="1" applyNumberFormat="1" applyFont="1" applyFill="1" applyBorder="1" applyAlignment="1">
      <alignment horizontal="center"/>
    </xf>
    <xf numFmtId="166" fontId="3" fillId="0" borderId="22" xfId="0" applyNumberFormat="1" applyFont="1" applyBorder="1" applyProtection="1">
      <protection locked="0"/>
    </xf>
    <xf numFmtId="0" fontId="0" fillId="0" borderId="22" xfId="0" applyBorder="1" applyAlignment="1" applyProtection="1">
      <alignment horizontal="right"/>
      <protection locked="0"/>
    </xf>
    <xf numFmtId="0" fontId="0" fillId="0" borderId="22" xfId="0" applyBorder="1" applyAlignment="1" applyProtection="1">
      <alignment horizontal="left"/>
      <protection locked="0"/>
    </xf>
    <xf numFmtId="0" fontId="0" fillId="7" borderId="0" xfId="0" applyFill="1" applyBorder="1" applyProtection="1">
      <protection hidden="1"/>
    </xf>
    <xf numFmtId="0" fontId="3" fillId="0" borderId="0" xfId="0" quotePrefix="1" applyFont="1"/>
    <xf numFmtId="0" fontId="0" fillId="0" borderId="0" xfId="0" applyBorder="1" applyProtection="1">
      <protection hidden="1"/>
    </xf>
    <xf numFmtId="43" fontId="3" fillId="0" borderId="0" xfId="0" applyNumberFormat="1" applyFont="1"/>
    <xf numFmtId="9" fontId="3" fillId="0" borderId="0" xfId="2" applyFont="1"/>
    <xf numFmtId="164" fontId="3" fillId="0" borderId="0" xfId="0" applyNumberFormat="1" applyFont="1"/>
    <xf numFmtId="0" fontId="0" fillId="0" borderId="32" xfId="0" applyBorder="1"/>
    <xf numFmtId="0" fontId="0" fillId="0" borderId="32" xfId="0" applyBorder="1" applyProtection="1">
      <protection hidden="1"/>
    </xf>
    <xf numFmtId="0" fontId="0" fillId="7" borderId="32" xfId="0" applyFill="1" applyBorder="1" applyProtection="1">
      <protection hidden="1"/>
    </xf>
    <xf numFmtId="0" fontId="7" fillId="8" borderId="30" xfId="0" applyFont="1" applyFill="1" applyBorder="1" applyAlignment="1">
      <alignment horizontal="center" vertical="center" wrapText="1"/>
    </xf>
    <xf numFmtId="0" fontId="7" fillId="8" borderId="31" xfId="0" quotePrefix="1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15" fillId="0" borderId="27" xfId="0" applyFont="1" applyBorder="1" applyAlignment="1" applyProtection="1">
      <alignment horizontal="center" vertical="center" wrapText="1"/>
      <protection hidden="1"/>
    </xf>
    <xf numFmtId="0" fontId="15" fillId="0" borderId="15" xfId="0" applyFont="1" applyBorder="1" applyAlignment="1" applyProtection="1">
      <alignment horizontal="center" vertical="center" wrapText="1"/>
      <protection hidden="1"/>
    </xf>
    <xf numFmtId="0" fontId="16" fillId="4" borderId="22" xfId="0" applyFont="1" applyFill="1" applyBorder="1" applyAlignment="1" applyProtection="1">
      <alignment horizontal="center" vertical="center" wrapText="1"/>
      <protection hidden="1"/>
    </xf>
    <xf numFmtId="0" fontId="17" fillId="4" borderId="28" xfId="0" applyFont="1" applyFill="1" applyBorder="1" applyAlignment="1" applyProtection="1">
      <alignment horizontal="center"/>
      <protection hidden="1"/>
    </xf>
    <xf numFmtId="0" fontId="18" fillId="0" borderId="6" xfId="0" applyFont="1" applyBorder="1" applyAlignment="1" applyProtection="1">
      <alignment horizontal="center" vertical="center" wrapText="1"/>
      <protection hidden="1"/>
    </xf>
    <xf numFmtId="0" fontId="18" fillId="0" borderId="7" xfId="0" applyFont="1" applyBorder="1" applyAlignment="1" applyProtection="1">
      <alignment horizontal="center" vertical="center" wrapText="1"/>
      <protection hidden="1"/>
    </xf>
    <xf numFmtId="0" fontId="18" fillId="0" borderId="8" xfId="0" applyFont="1" applyBorder="1" applyAlignment="1" applyProtection="1">
      <alignment horizontal="center" vertical="center" wrapText="1"/>
      <protection hidden="1"/>
    </xf>
    <xf numFmtId="0" fontId="15" fillId="0" borderId="24" xfId="0" applyFont="1" applyBorder="1" applyAlignment="1" applyProtection="1">
      <alignment horizontal="center" vertical="center"/>
      <protection hidden="1"/>
    </xf>
    <xf numFmtId="164" fontId="15" fillId="0" borderId="25" xfId="0" applyNumberFormat="1" applyFont="1" applyBorder="1" applyAlignment="1" applyProtection="1">
      <alignment horizontal="center" vertical="center"/>
      <protection hidden="1"/>
    </xf>
    <xf numFmtId="43" fontId="15" fillId="7" borderId="11" xfId="0" applyNumberFormat="1" applyFont="1" applyFill="1" applyBorder="1" applyAlignment="1" applyProtection="1">
      <alignment horizontal="center" vertical="center"/>
      <protection hidden="1"/>
    </xf>
    <xf numFmtId="165" fontId="15" fillId="0" borderId="25" xfId="0" applyNumberFormat="1" applyFont="1" applyBorder="1" applyAlignment="1" applyProtection="1">
      <alignment horizontal="center" vertical="center"/>
      <protection hidden="1"/>
    </xf>
    <xf numFmtId="164" fontId="18" fillId="0" borderId="9" xfId="0" applyNumberFormat="1" applyFont="1" applyBorder="1" applyAlignment="1" applyProtection="1">
      <alignment horizontal="center" vertical="center"/>
      <protection hidden="1"/>
    </xf>
    <xf numFmtId="10" fontId="18" fillId="0" borderId="9" xfId="0" applyNumberFormat="1" applyFont="1" applyBorder="1" applyAlignment="1" applyProtection="1">
      <alignment horizontal="center" vertical="center"/>
      <protection hidden="1"/>
    </xf>
    <xf numFmtId="165" fontId="18" fillId="0" borderId="9" xfId="0" applyNumberFormat="1" applyFont="1" applyBorder="1" applyAlignment="1" applyProtection="1">
      <alignment horizontal="center" vertical="center"/>
      <protection hidden="1"/>
    </xf>
    <xf numFmtId="164" fontId="19" fillId="0" borderId="10" xfId="0" applyNumberFormat="1" applyFont="1" applyBorder="1" applyAlignment="1" applyProtection="1">
      <alignment horizontal="center" vertical="center"/>
      <protection hidden="1"/>
    </xf>
    <xf numFmtId="164" fontId="14" fillId="0" borderId="28" xfId="0" applyNumberFormat="1" applyFont="1" applyBorder="1" applyAlignment="1" applyProtection="1">
      <alignment horizontal="right" vertical="center"/>
      <protection hidden="1"/>
    </xf>
    <xf numFmtId="164" fontId="14" fillId="0" borderId="23" xfId="0" applyNumberFormat="1" applyFont="1" applyBorder="1" applyAlignment="1" applyProtection="1">
      <alignment horizontal="right" vertical="center"/>
      <protection hidden="1"/>
    </xf>
    <xf numFmtId="167" fontId="20" fillId="4" borderId="22" xfId="1" applyNumberFormat="1" applyFont="1" applyFill="1" applyBorder="1" applyAlignment="1" applyProtection="1">
      <alignment horizontal="right" vertical="center"/>
      <protection hidden="1"/>
    </xf>
    <xf numFmtId="167" fontId="14" fillId="6" borderId="29" xfId="1" applyNumberFormat="1" applyFont="1" applyFill="1" applyBorder="1" applyAlignment="1">
      <alignment horizontal="right" vertical="center"/>
    </xf>
    <xf numFmtId="43" fontId="14" fillId="6" borderId="29" xfId="1" applyFont="1" applyFill="1" applyBorder="1" applyAlignment="1">
      <alignment horizontal="right" vertical="center"/>
    </xf>
    <xf numFmtId="164" fontId="17" fillId="0" borderId="26" xfId="0" applyNumberFormat="1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locked="0"/>
    </xf>
    <xf numFmtId="0" fontId="21" fillId="0" borderId="0" xfId="0" applyFont="1" applyAlignment="1" applyProtection="1">
      <alignment horizontal="left"/>
      <protection hidden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54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lightGray">
          <fgColor theme="5"/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_(* #,##0_);_(* \(#,##0\);_(* &quot;-&quot;??_);_(@_)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7" formatCode="_(* #,##0_);_(* \(#,##0\);_(* &quot;-&quot;??_);_(@_)"/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protection locked="0" hidden="0"/>
    </dxf>
    <dxf>
      <numFmt numFmtId="166" formatCode="#,###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#,###"/>
      <protection locked="0" hidden="0"/>
    </dxf>
    <dxf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9" formatCode="m/d/yyyy"/>
      <alignment horizontal="center" vertical="center" textRotation="0" indent="0" justifyLastLine="0" shrinkToFit="0" readingOrder="0"/>
      <protection locked="0" hidden="0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rgb="FFFF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1"/>
    </dxf>
    <dxf>
      <font>
        <strike val="0"/>
        <outline val="0"/>
        <shadow val="0"/>
        <u val="none"/>
        <vertAlign val="baseline"/>
        <sz val="15"/>
        <color rgb="FF000000"/>
        <name val="Calibri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  <protection locked="1" hidden="1"/>
    </dxf>
    <dxf>
      <font>
        <strike val="0"/>
        <outline val="0"/>
        <shadow val="0"/>
        <u val="none"/>
        <vertAlign val="baseline"/>
        <sz val="15"/>
        <color rgb="FF000000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1"/>
    </dxf>
    <dxf>
      <font>
        <strike val="0"/>
        <outline val="0"/>
        <shadow val="0"/>
        <u val="none"/>
        <vertAlign val="baseline"/>
        <sz val="15"/>
        <color rgb="FF000000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1"/>
    </dxf>
    <dxf>
      <font>
        <strike val="0"/>
        <outline val="0"/>
        <shadow val="0"/>
        <u val="none"/>
        <vertAlign val="baseline"/>
        <sz val="15"/>
        <color rgb="FF000000"/>
        <name val="Calibri"/>
        <family val="2"/>
        <scheme val="none"/>
      </font>
      <numFmt numFmtId="164" formatCode="_(* #,##0_);_(* \(#,##0\);_(* \-??_);_(@_)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1"/>
    </dxf>
    <dxf>
      <font>
        <strike val="0"/>
        <outline val="0"/>
        <shadow val="0"/>
        <u val="none"/>
        <vertAlign val="baseline"/>
        <sz val="15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5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1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  <protection locked="1" hidden="1"/>
    </dxf>
    <dxf>
      <font>
        <b/>
        <strike val="0"/>
        <outline val="0"/>
        <shadow val="0"/>
        <u val="none"/>
        <vertAlign val="baseline"/>
        <sz val="14"/>
        <color rgb="FFFF0000"/>
        <name val="Calibri"/>
        <family val="2"/>
        <scheme val="none"/>
      </font>
      <numFmt numFmtId="164" formatCode="_(* #,##0_);_(* \(#,##0\);_(* \-??_);_(@_)"/>
      <fill>
        <patternFill patternType="solid">
          <fgColor auto="1"/>
          <bgColor rgb="FFFFFF00"/>
        </patternFill>
      </fill>
      <alignment horizontal="center" vertical="center" textRotation="0" wrapText="0" indent="0" justifyLastLine="0" shrinkToFit="0" readingOrder="0"/>
      <border outline="0">
        <left style="thin">
          <color auto="1"/>
        </left>
        <right style="medium">
          <color auto="1"/>
        </right>
        <top style="thin">
          <color auto="1"/>
        </top>
        <bottom style="medium">
          <color auto="1"/>
        </bottom>
      </border>
      <protection locked="1" hidden="1"/>
    </dxf>
    <dxf>
      <font>
        <strike val="0"/>
        <outline val="0"/>
        <shadow val="0"/>
        <u val="none"/>
        <vertAlign val="baseline"/>
        <sz val="14"/>
        <name val="Calibri"/>
        <family val="2"/>
        <scheme val="none"/>
      </font>
      <numFmt numFmtId="165" formatCode="0.0"/>
      <alignment horizontal="center" vertical="center" textRotation="0" wrapText="0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medium">
          <color auto="1"/>
        </bottom>
      </border>
      <protection locked="1" hidden="1"/>
    </dxf>
    <dxf>
      <font>
        <strike val="0"/>
        <outline val="0"/>
        <shadow val="0"/>
        <u val="none"/>
        <vertAlign val="baseline"/>
        <sz val="14"/>
        <name val="Calibri"/>
        <family val="2"/>
        <scheme val="none"/>
      </font>
      <numFmt numFmtId="164" formatCode="_(* #,##0_);_(* \(#,##0\);_(* \-??_);_(@_)"/>
      <alignment horizontal="center" vertical="center" textRotation="0" wrapText="0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medium">
          <color auto="1"/>
        </bottom>
      </border>
      <protection locked="1" hidden="1"/>
    </dxf>
    <dxf>
      <font>
        <strike val="0"/>
        <outline val="0"/>
        <shadow val="0"/>
        <u val="none"/>
        <vertAlign val="baseline"/>
        <sz val="14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medium">
          <color auto="1"/>
        </bottom>
      </border>
      <protection locked="1" hidden="1"/>
    </dxf>
    <dxf>
      <font>
        <strike val="0"/>
        <outline val="0"/>
        <shadow val="0"/>
        <u val="none"/>
        <vertAlign val="baseline"/>
        <sz val="14"/>
        <name val="Calibri"/>
        <family val="2"/>
        <scheme val="none"/>
      </font>
      <numFmt numFmtId="164" formatCode="_(* #,##0_);_(* \(#,##0\);_(* \-??_);_(@_)"/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auto="1"/>
        </right>
        <top style="thin">
          <color auto="1"/>
        </top>
        <bottom style="medium">
          <color auto="1"/>
        </bottom>
      </border>
      <protection locked="1" hidden="1"/>
    </dxf>
    <dxf>
      <font>
        <strike val="0"/>
        <outline val="0"/>
        <shadow val="0"/>
        <u val="none"/>
        <vertAlign val="baseline"/>
        <sz val="14"/>
        <name val="Calibri"/>
        <family val="2"/>
        <scheme val="none"/>
      </font>
      <numFmt numFmtId="164" formatCode="_(* #,##0_);_(* \(#,##0\);_(* \-??_);_(@_)"/>
      <fill>
        <patternFill patternType="solid">
          <fgColor indexed="64"/>
          <bgColor rgb="FFDEFF8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medium">
          <color rgb="FF000000"/>
        </bottom>
      </border>
      <protection locked="1" hidden="1"/>
    </dxf>
    <dxf>
      <font>
        <strike val="0"/>
        <outline val="0"/>
        <shadow val="0"/>
        <u val="none"/>
        <vertAlign val="baseline"/>
        <sz val="14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protection locked="1" hidden="1"/>
    </dxf>
    <dxf>
      <font>
        <b/>
        <strike val="0"/>
        <outline val="0"/>
        <shadow val="0"/>
        <u val="none"/>
        <vertAlign val="baseline"/>
        <sz val="15"/>
        <color rgb="FFFF0000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5"/>
        <color rgb="FFFF0000"/>
        <name val="Calibri"/>
        <family val="2"/>
        <scheme val="none"/>
      </font>
      <fill>
        <patternFill patternType="solid">
          <fgColor indexed="64"/>
          <bgColor rgb="FFFFFF00"/>
        </patternFill>
      </fill>
      <protection locked="1" hidden="1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protection locked="1" hidden="1"/>
    </dxf>
    <dxf>
      <font>
        <b/>
        <strike val="0"/>
        <outline val="0"/>
        <shadow val="0"/>
        <u val="none"/>
        <vertAlign val="baseline"/>
        <sz val="15"/>
        <color auto="1"/>
        <name val="Arial Nova Cond"/>
        <family val="2"/>
        <scheme val="none"/>
      </font>
      <numFmt numFmtId="167" formatCode="_(* #,##0_);_(* \(#,##0\);_(* &quot;-&quot;??_);_(@_)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strike val="0"/>
        <outline val="0"/>
        <shadow val="0"/>
        <u val="none"/>
        <vertAlign val="baseline"/>
        <sz val="15"/>
        <color theme="3"/>
        <name val="Calibri"/>
        <scheme val="none"/>
      </font>
      <numFmt numFmtId="164" formatCode="_(* #,##0_);_(* \(#,##0\);_(* \-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strike val="0"/>
        <outline val="0"/>
        <shadow val="0"/>
        <u val="none"/>
        <vertAlign val="baseline"/>
        <sz val="15"/>
        <color theme="3"/>
      </font>
      <numFmt numFmtId="164" formatCode="_(* #,##0_);_(* \(#,##0\);_(* \-??_);_(@_)"/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1" hidden="1"/>
    </dxf>
    <dxf>
      <font>
        <b/>
        <strike val="0"/>
        <outline val="0"/>
        <shadow val="0"/>
        <u val="none"/>
        <vertAlign val="baseline"/>
        <sz val="15"/>
        <color theme="3"/>
        <name val="Calibri"/>
        <scheme val="none"/>
      </font>
      <numFmt numFmtId="164" formatCode="_(* #,##0_);_(* \(#,##0\);_(* \-??_);_(@_)"/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5"/>
        <color rgb="FFFF0000"/>
        <name val="Calibri"/>
        <scheme val="none"/>
      </font>
      <alignment horizontal="right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5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Light16"/>
  <colors>
    <mruColors>
      <color rgb="FFDEF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88</xdr:row>
      <xdr:rowOff>121920</xdr:rowOff>
    </xdr:from>
    <xdr:to>
      <xdr:col>14</xdr:col>
      <xdr:colOff>459993</xdr:colOff>
      <xdr:row>109</xdr:row>
      <xdr:rowOff>138583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3900" y="16885920"/>
          <a:ext cx="8125713" cy="385714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 Anh Khoa" id="{C6DF24CF-AD34-4CCF-9BD2-31C90736B576}" userId="S::le.anh-khoa1@hdsaison.com.vn::14378fa9-4fa6-459c-a778-6c3c3730fb7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13:F14" totalsRowShown="0" headerRowDxfId="53" dataDxfId="51" headerRowBorderDxfId="52" tableBorderDxfId="50" totalsRowBorderDxfId="49">
  <tableColumns count="4">
    <tableColumn id="1" xr3:uid="{00000000-0010-0000-0000-000001000000}" name="THƯỞNG ĐẠT TARGET" dataDxfId="48">
      <calculatedColumnFormula>Table3[THƯỞNG ĐẠT TARGET]</calculatedColumnFormula>
    </tableColumn>
    <tableColumn id="2" xr3:uid="{00000000-0010-0000-0000-000002000000}" name="THƯỞNG DS THEO HS RISK" dataDxfId="47">
      <calculatedColumnFormula array="1">Table4[THƯỞNG DOANH SỐ THEO HỆ SỐ RISK]</calculatedColumnFormula>
    </tableColumn>
    <tableColumn id="3" xr3:uid="{00000000-0010-0000-0000-000003000000}" name="THƯỞNG BẢO HIỂM" dataDxfId="46">
      <calculatedColumnFormula>SUM('DL 1'!I3:I253)</calculatedColumnFormula>
    </tableColumn>
    <tableColumn id="7" xr3:uid="{00000000-0010-0000-0000-000007000000}" name="TỔNG THƯỞNG" dataDxfId="45" dataCellStyle="Comma">
      <calculatedColumnFormula array="1">(Table1[[#This Row],[THƯỞNG ĐẠT TARGET]]+Table1[[#This Row],[THƯỞNG DS THEO HS RISK]])*Table2[[Hệ Số Đạt Chỉ tiêu ]]+Table1[[#This Row],[THƯỞNG BẢO HIỂM]]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C17:C18" totalsRowShown="0" headerRowDxfId="44" dataDxfId="42" headerRowBorderDxfId="43" tableBorderDxfId="41" totalsRowBorderDxfId="40">
  <tableColumns count="1">
    <tableColumn id="1" xr3:uid="{00000000-0010-0000-0100-000001000000}" name="Hệ Số Đạt Chỉ tiêu " dataDxfId="39">
      <calculatedColumnFormula>Data!$K$53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C21:H22" totalsRowShown="0" headerRowDxfId="38" dataDxfId="37">
  <tableColumns count="6">
    <tableColumn id="1" xr3:uid="{00000000-0010-0000-0200-000001000000}" name="TARGET Dl" dataDxfId="36">
      <calculatedColumnFormula>C8</calculatedColumnFormula>
    </tableColumn>
    <tableColumn id="2" xr3:uid="{00000000-0010-0000-0200-000002000000}" name="GIẢI NGÂN DL" dataDxfId="35">
      <calculatedColumnFormula>SUM('DL 1'!$E$3:$E$377)</calculatedColumnFormula>
    </tableColumn>
    <tableColumn id="3" xr3:uid="{00000000-0010-0000-0200-000003000000}" name="% GIẢI NGÂN" dataDxfId="34">
      <calculatedColumnFormula>IFERROR(Table3[[#This Row],[GIẢI NGÂN DL]]/Table3[[#This Row],[TARGET Dl]],0)</calculatedColumnFormula>
    </tableColumn>
    <tableColumn id="4" xr3:uid="{00000000-0010-0000-0200-000004000000}" name="MỨC THƯỞNG" dataDxfId="33">
      <calculatedColumnFormula>_xlfn.IFNA(INDEX(Data!$H$15:$P$15,1,MATCH(Table3[[#This Row],[TARGET Dl]]/1000000,Data!$H$14:$P$14,1))*1000,0)</calculatedColumnFormula>
    </tableColumn>
    <tableColumn id="5" xr3:uid="{00000000-0010-0000-0200-000005000000}" name="HỆ SỐ" dataDxfId="32">
      <calculatedColumnFormula>INDEX(Data!$H$18:$M$18,1,MATCH(Table3[[#This Row],[% GIẢI NGÂN]],Data!$H$17:$M$17,1))</calculatedColumnFormula>
    </tableColumn>
    <tableColumn id="6" xr3:uid="{00000000-0010-0000-0200-000006000000}" name="THƯỞNG ĐẠT TARGET" dataDxfId="31">
      <calculatedColumnFormula>Table3[[#This Row],[MỨC THƯỞNG]]*Table3[[#This Row],[HỆ SỐ]]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C25:H26" totalsRowShown="0" headerRowDxfId="30" dataDxfId="28" headerRowBorderDxfId="29" tableBorderDxfId="27" totalsRowBorderDxfId="26">
  <tableColumns count="6">
    <tableColumn id="1" xr3:uid="{00000000-0010-0000-0300-000001000000}" name="KÊNH" dataDxfId="25"/>
    <tableColumn id="2" xr3:uid="{00000000-0010-0000-0300-000002000000}" name="THƯỞNG DOANH SỐ " dataDxfId="24">
      <calculatedColumnFormula>SUM('DL 1'!$J$3:$J$274)</calculatedColumnFormula>
    </tableColumn>
    <tableColumn id="3" xr3:uid="{00000000-0010-0000-0300-000003000000}" name="PR3" dataDxfId="23">
      <calculatedColumnFormula>F8</calculatedColumnFormula>
    </tableColumn>
    <tableColumn id="4" xr3:uid="{00000000-0010-0000-0300-000004000000}" name="PR6" dataDxfId="22">
      <calculatedColumnFormula>G8</calculatedColumnFormula>
    </tableColumn>
    <tableColumn id="5" xr3:uid="{00000000-0010-0000-0300-000005000000}" name="HỆ SỐ RISK" dataDxfId="21">
      <calculatedColumnFormula>Data!$K$40</calculatedColumnFormula>
    </tableColumn>
    <tableColumn id="6" xr3:uid="{00000000-0010-0000-0300-000006000000}" name="THƯỞNG DOANH SỐ THEO HỆ SỐ RISK" dataDxfId="20">
      <calculatedColumnFormula>Table4[[#This Row],[THƯỞNG DOANH SỐ ]]*Table4[[#This Row],[HỆ SỐ RISK]]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1:J172" totalsRowShown="0" headerRowDxfId="19">
  <autoFilter ref="A1:J172" xr:uid="{00000000-0009-0000-0100-000007000000}"/>
  <tableColumns count="10">
    <tableColumn id="3" xr3:uid="{00000000-0010-0000-0400-000003000000}" name="Column3" dataDxfId="18"/>
    <tableColumn id="4" xr3:uid="{00000000-0010-0000-0400-000004000000}" name="Column4" dataDxfId="17"/>
    <tableColumn id="5" xr3:uid="{00000000-0010-0000-0400-000005000000}" name="Column5" dataDxfId="16"/>
    <tableColumn id="6" xr3:uid="{00000000-0010-0000-0400-000006000000}" name="Column6" dataDxfId="15"/>
    <tableColumn id="7" xr3:uid="{00000000-0010-0000-0400-000007000000}" name="Column7" dataDxfId="14"/>
    <tableColumn id="8" xr3:uid="{00000000-0010-0000-0400-000008000000}" name="Column8" dataDxfId="13"/>
    <tableColumn id="9" xr3:uid="{00000000-0010-0000-0400-000009000000}" name="Column9" dataDxfId="12"/>
    <tableColumn id="10" xr3:uid="{00000000-0010-0000-0400-00000A000000}" name="Column10" dataDxfId="11"/>
    <tableColumn id="11" xr3:uid="{00000000-0010-0000-0400-00000B000000}" name="Column11" dataDxfId="10" dataCellStyle="Comma">
      <calculatedColumnFormula>CONVERT!B1</calculatedColumnFormula>
    </tableColumn>
    <tableColumn id="12" xr3:uid="{00000000-0010-0000-0400-00000C000000}" name="Column12" dataDxfId="9" dataCellStyle="Comma">
      <calculatedColumnFormula>CONVERT!AD1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" dT="2023-04-21T03:49:09.29" personId="{C6DF24CF-AD34-4CCF-9BD2-31C90736B576}" id="{D5F57E96-C8D4-46EA-8E18-F3D9772818C2}">
    <text xml:space="preserve"> Chỉ số này liên Hệ BDS để có
</text>
  </threadedComment>
  <threadedComment ref="E7" dT="2024-05-22T02:48:39.65" personId="{C6DF24CF-AD34-4CCF-9BD2-31C90736B576}" id="{14AB6D42-95E0-4547-99FF-736D2BCD2C16}">
    <text>Chỉ số này liên Hệ BDS để có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table" Target="../tables/table1.xml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K30"/>
  <sheetViews>
    <sheetView showGridLines="0" tabSelected="1" zoomScale="71" zoomScaleNormal="115" workbookViewId="0">
      <selection activeCell="G8" sqref="G8"/>
    </sheetView>
  </sheetViews>
  <sheetFormatPr defaultColWidth="9.109375" defaultRowHeight="14.4" x14ac:dyDescent="0.3"/>
  <cols>
    <col min="1" max="2" width="2.109375" style="14" customWidth="1"/>
    <col min="3" max="3" width="21" style="14" customWidth="1"/>
    <col min="4" max="4" width="19.6640625" style="14" customWidth="1"/>
    <col min="5" max="5" width="19.88671875" style="14" customWidth="1"/>
    <col min="6" max="6" width="16.5546875" style="14" bestFit="1" customWidth="1"/>
    <col min="7" max="7" width="16.6640625" style="14" customWidth="1"/>
    <col min="8" max="8" width="24.33203125" style="14" customWidth="1"/>
    <col min="9" max="9" width="14.109375" style="14" bestFit="1" customWidth="1"/>
    <col min="10" max="10" width="16.109375" style="14" bestFit="1" customWidth="1"/>
    <col min="11" max="11" width="13.5546875" style="14" customWidth="1"/>
    <col min="12" max="16384" width="9.109375" style="14"/>
  </cols>
  <sheetData>
    <row r="1" spans="2:11" ht="10.5" customHeight="1" thickBot="1" x14ac:dyDescent="0.35"/>
    <row r="2" spans="2:11" ht="10.5" customHeight="1" x14ac:dyDescent="0.3">
      <c r="B2" s="1"/>
      <c r="C2" s="2"/>
      <c r="D2" s="2"/>
      <c r="E2" s="2"/>
      <c r="F2" s="2"/>
      <c r="G2" s="2"/>
      <c r="H2" s="2"/>
      <c r="I2" s="2"/>
      <c r="J2" s="3"/>
    </row>
    <row r="3" spans="2:11" ht="20.399999999999999" x14ac:dyDescent="0.35">
      <c r="B3" s="4"/>
      <c r="C3" s="110" t="str">
        <f xml:space="preserve"> "INCENTIVE  DL THÁNG "&amp; TEXT('DL 1'!A3,"MM/yyyy")</f>
        <v>INCENTIVE  DL THÁNG 12/2024</v>
      </c>
      <c r="D3" s="110"/>
      <c r="E3" s="110"/>
      <c r="F3" s="110"/>
      <c r="G3" s="110"/>
      <c r="H3" s="110"/>
      <c r="I3" s="110"/>
      <c r="J3" s="5"/>
    </row>
    <row r="4" spans="2:11" ht="21" x14ac:dyDescent="0.4">
      <c r="B4" s="4"/>
      <c r="C4" s="111" t="str">
        <f>"(Kỳ lương tháng " &amp; TEXT(EDATE('DL 1'!A3,1),"MM/yyyy") &amp;")"</f>
        <v>(Kỳ lương tháng 01/2025)</v>
      </c>
      <c r="D4" s="111"/>
      <c r="E4" s="111"/>
      <c r="F4" s="111"/>
      <c r="G4" s="111"/>
      <c r="H4" s="111"/>
      <c r="I4" s="111"/>
      <c r="J4" s="5"/>
    </row>
    <row r="5" spans="2:11" x14ac:dyDescent="0.3">
      <c r="B5" s="4"/>
      <c r="C5" s="108"/>
      <c r="D5" s="108"/>
      <c r="E5" s="108"/>
      <c r="F5" s="108"/>
      <c r="G5" s="108"/>
      <c r="H5" s="108"/>
      <c r="I5" s="108"/>
      <c r="J5" s="5"/>
    </row>
    <row r="6" spans="2:11" ht="21.6" thickBot="1" x14ac:dyDescent="0.45">
      <c r="B6" s="4"/>
      <c r="C6" s="112" t="s">
        <v>181</v>
      </c>
      <c r="D6" s="112"/>
      <c r="E6" s="112"/>
      <c r="F6" s="112"/>
      <c r="G6" s="112"/>
      <c r="H6" s="112"/>
      <c r="I6" s="112"/>
      <c r="J6" s="5"/>
    </row>
    <row r="7" spans="2:11" ht="21" x14ac:dyDescent="0.3">
      <c r="B7" s="4"/>
      <c r="C7" s="84" t="s">
        <v>239</v>
      </c>
      <c r="D7" s="85" t="s">
        <v>237</v>
      </c>
      <c r="E7" s="85" t="s">
        <v>238</v>
      </c>
      <c r="F7" s="86" t="s">
        <v>249</v>
      </c>
      <c r="G7" s="84" t="s">
        <v>250</v>
      </c>
      <c r="H7" s="28"/>
      <c r="I7" s="28"/>
      <c r="J7" s="5"/>
    </row>
    <row r="8" spans="2:11" ht="52.2" customHeight="1" thickBot="1" x14ac:dyDescent="0.35">
      <c r="B8" s="4"/>
      <c r="C8" s="105">
        <v>300000000</v>
      </c>
      <c r="D8" s="105">
        <v>230000000</v>
      </c>
      <c r="E8" s="105">
        <v>130000000</v>
      </c>
      <c r="F8" s="106">
        <v>98</v>
      </c>
      <c r="G8" s="106">
        <v>98</v>
      </c>
      <c r="H8" s="28"/>
      <c r="I8" s="28"/>
      <c r="J8" s="81"/>
    </row>
    <row r="9" spans="2:11" x14ac:dyDescent="0.3">
      <c r="B9" s="4"/>
      <c r="C9" s="23"/>
      <c r="D9" s="23"/>
      <c r="E9" s="23"/>
      <c r="F9" s="23"/>
      <c r="G9" s="23"/>
      <c r="H9" s="23"/>
      <c r="I9" s="24"/>
      <c r="J9" s="81"/>
    </row>
    <row r="10" spans="2:11" x14ac:dyDescent="0.3">
      <c r="B10" s="4"/>
      <c r="C10" s="75"/>
      <c r="D10" s="75"/>
      <c r="E10" s="75"/>
      <c r="F10" s="75"/>
      <c r="G10" s="75"/>
      <c r="H10" s="75"/>
      <c r="I10" s="75"/>
      <c r="J10" s="82"/>
    </row>
    <row r="11" spans="2:11" ht="5.0999999999999996" customHeight="1" x14ac:dyDescent="0.3">
      <c r="B11" s="4"/>
      <c r="C11" s="75"/>
      <c r="D11" s="75"/>
      <c r="E11" s="75"/>
      <c r="F11" s="75"/>
      <c r="G11" s="75"/>
      <c r="H11" s="75"/>
      <c r="I11" s="75"/>
      <c r="J11" s="82"/>
    </row>
    <row r="12" spans="2:11" ht="21" x14ac:dyDescent="0.4">
      <c r="B12" s="4"/>
      <c r="C12" s="112" t="s">
        <v>0</v>
      </c>
      <c r="D12" s="112"/>
      <c r="E12" s="112"/>
      <c r="F12" s="112"/>
      <c r="G12" s="112"/>
      <c r="H12" s="112"/>
      <c r="I12" s="112"/>
      <c r="J12" s="83"/>
    </row>
    <row r="13" spans="2:11" ht="41.1" customHeight="1" x14ac:dyDescent="0.3">
      <c r="B13" s="4"/>
      <c r="C13" s="87" t="s">
        <v>1</v>
      </c>
      <c r="D13" s="88" t="s">
        <v>2</v>
      </c>
      <c r="E13" s="88" t="s">
        <v>3</v>
      </c>
      <c r="F13" s="89" t="s">
        <v>200</v>
      </c>
      <c r="G13" s="75"/>
      <c r="H13" s="75"/>
      <c r="I13" s="75"/>
      <c r="J13" s="83"/>
    </row>
    <row r="14" spans="2:11" ht="34.799999999999997" customHeight="1" x14ac:dyDescent="0.3">
      <c r="B14" s="4"/>
      <c r="C14" s="102">
        <f>Table3[THƯỞNG ĐẠT TARGET]</f>
        <v>2340000</v>
      </c>
      <c r="D14" s="102" cm="1">
        <f t="array" ref="D14">Table4[THƯỞNG DOANH SỐ THEO HỆ SỐ RISK]</f>
        <v>4589000</v>
      </c>
      <c r="E14" s="103">
        <f>SUM('DL 1'!I3:I253)</f>
        <v>403000</v>
      </c>
      <c r="F14" s="104" cm="1">
        <f t="array" ref="F14">(Table1[[#This Row],[THƯỞNG ĐẠT TARGET]]+Table1[[#This Row],[THƯỞNG DS THEO HS RISK]])*Table2[[Hệ Số Đạt Chỉ tiêu ]]+Table1[[#This Row],[THƯỞNG BẢO HIỂM]]</f>
        <v>5946200</v>
      </c>
      <c r="G14" s="75"/>
      <c r="H14" s="75"/>
      <c r="I14" s="75"/>
      <c r="J14" s="83"/>
    </row>
    <row r="15" spans="2:11" ht="5.0999999999999996" customHeight="1" x14ac:dyDescent="0.3">
      <c r="B15" s="4"/>
      <c r="C15" s="75"/>
      <c r="D15" s="75"/>
      <c r="E15" s="75"/>
      <c r="F15" s="75"/>
      <c r="G15" s="75"/>
      <c r="H15" s="75"/>
      <c r="I15" s="75"/>
      <c r="J15" s="82"/>
      <c r="K15" s="16"/>
    </row>
    <row r="16" spans="2:11" ht="21" x14ac:dyDescent="0.4">
      <c r="B16" s="4"/>
      <c r="C16" s="109" t="s">
        <v>254</v>
      </c>
      <c r="D16" s="109"/>
      <c r="E16" s="109"/>
      <c r="F16" s="109"/>
      <c r="G16" s="109"/>
      <c r="H16" s="109"/>
      <c r="I16" s="109"/>
      <c r="J16" s="82"/>
      <c r="K16" s="16"/>
    </row>
    <row r="17" spans="2:10" ht="41.1" customHeight="1" x14ac:dyDescent="0.3">
      <c r="B17" s="4"/>
      <c r="C17" s="88" t="s">
        <v>248</v>
      </c>
      <c r="D17" s="75"/>
      <c r="E17" s="75"/>
      <c r="F17" s="75"/>
      <c r="G17" s="75"/>
      <c r="H17" s="75"/>
      <c r="I17" s="75"/>
      <c r="J17" s="83"/>
    </row>
    <row r="18" spans="2:10" ht="19.8" x14ac:dyDescent="0.4">
      <c r="B18" s="4"/>
      <c r="C18" s="90">
        <f>Data!$K$53</f>
        <v>0.8</v>
      </c>
      <c r="D18" s="75"/>
      <c r="E18" s="75"/>
      <c r="F18" s="75"/>
      <c r="G18" s="75"/>
      <c r="H18" s="75"/>
      <c r="I18" s="75"/>
      <c r="J18" s="83"/>
    </row>
    <row r="19" spans="2:10" ht="5.0999999999999996" customHeight="1" x14ac:dyDescent="0.3">
      <c r="B19" s="4"/>
      <c r="C19" s="28"/>
      <c r="D19" s="28"/>
      <c r="E19" s="28"/>
      <c r="F19" s="28"/>
      <c r="G19" s="28"/>
      <c r="H19" s="28"/>
      <c r="I19" s="28"/>
      <c r="J19" s="82"/>
    </row>
    <row r="20" spans="2:10" ht="21.6" thickBot="1" x14ac:dyDescent="0.45">
      <c r="B20" s="4"/>
      <c r="C20" s="109" t="s">
        <v>255</v>
      </c>
      <c r="D20" s="109"/>
      <c r="E20" s="109"/>
      <c r="F20" s="109"/>
      <c r="G20" s="109"/>
      <c r="H20" s="109"/>
      <c r="I20" s="109"/>
      <c r="J20" s="82"/>
    </row>
    <row r="21" spans="2:10" ht="51.6" customHeight="1" x14ac:dyDescent="0.3">
      <c r="B21" s="4"/>
      <c r="C21" s="91" t="s">
        <v>251</v>
      </c>
      <c r="D21" s="92" t="s">
        <v>252</v>
      </c>
      <c r="E21" s="92" t="s">
        <v>4</v>
      </c>
      <c r="F21" s="92" t="s">
        <v>5</v>
      </c>
      <c r="G21" s="92" t="s">
        <v>6</v>
      </c>
      <c r="H21" s="93" t="s">
        <v>1</v>
      </c>
      <c r="I21" s="28"/>
      <c r="J21" s="82"/>
    </row>
    <row r="22" spans="2:10" ht="37.200000000000003" customHeight="1" thickBot="1" x14ac:dyDescent="0.35">
      <c r="B22" s="4"/>
      <c r="C22" s="98">
        <f>C8</f>
        <v>300000000</v>
      </c>
      <c r="D22" s="98">
        <f>SUM('DL 1'!$E$3:$E$377)</f>
        <v>352000000</v>
      </c>
      <c r="E22" s="99">
        <f>IFERROR(Table3[[#This Row],[GIẢI NGÂN DL]]/Table3[[#This Row],[TARGET Dl]],0)</f>
        <v>1.1733333333333333</v>
      </c>
      <c r="F22" s="98">
        <f>_xlfn.IFNA(INDEX(Data!$H$15:$P$15,1,MATCH(Table3[[#This Row],[TARGET Dl]]/1000000,Data!$H$14:$P$14,1))*1000,0)</f>
        <v>1800000</v>
      </c>
      <c r="G22" s="100">
        <f>INDEX(Data!$H$18:$M$18,1,MATCH(Table3[[#This Row],[% GIẢI NGÂN]],Data!$H$17:$M$17,1))</f>
        <v>1.3</v>
      </c>
      <c r="H22" s="101">
        <f>Table3[[#This Row],[MỨC THƯỞNG]]*Table3[[#This Row],[HỆ SỐ]]</f>
        <v>2340000</v>
      </c>
      <c r="I22" s="28"/>
      <c r="J22" s="82"/>
    </row>
    <row r="23" spans="2:10" ht="5.0999999999999996" customHeight="1" x14ac:dyDescent="0.3">
      <c r="B23" s="4"/>
      <c r="C23" s="28"/>
      <c r="D23" s="28"/>
      <c r="E23" s="28"/>
      <c r="F23" s="28"/>
      <c r="G23" s="28"/>
      <c r="H23" s="28"/>
      <c r="I23" s="28"/>
      <c r="J23" s="82"/>
    </row>
    <row r="24" spans="2:10" ht="21.6" thickBot="1" x14ac:dyDescent="0.45">
      <c r="B24" s="4"/>
      <c r="C24" s="109" t="s">
        <v>256</v>
      </c>
      <c r="D24" s="109"/>
      <c r="E24" s="109"/>
      <c r="F24" s="109"/>
      <c r="G24" s="109"/>
      <c r="H24" s="109"/>
      <c r="I24" s="109"/>
      <c r="J24" s="82"/>
    </row>
    <row r="25" spans="2:10" ht="60" customHeight="1" x14ac:dyDescent="0.3">
      <c r="B25" s="4"/>
      <c r="C25" s="91" t="s">
        <v>7</v>
      </c>
      <c r="D25" s="92" t="s">
        <v>235</v>
      </c>
      <c r="E25" s="92" t="s">
        <v>8</v>
      </c>
      <c r="F25" s="92" t="s">
        <v>9</v>
      </c>
      <c r="G25" s="92" t="s">
        <v>10</v>
      </c>
      <c r="H25" s="93" t="s">
        <v>236</v>
      </c>
      <c r="I25" s="77"/>
      <c r="J25" s="82"/>
    </row>
    <row r="26" spans="2:10" ht="32.4" customHeight="1" x14ac:dyDescent="0.3">
      <c r="B26" s="4"/>
      <c r="C26" s="94" t="s">
        <v>11</v>
      </c>
      <c r="D26" s="95">
        <f>SUM('DL 1'!$J$3:$J$274)</f>
        <v>3530000</v>
      </c>
      <c r="E26" s="96">
        <f>F8</f>
        <v>98</v>
      </c>
      <c r="F26" s="96">
        <f>G8</f>
        <v>98</v>
      </c>
      <c r="G26" s="97">
        <f>Data!$K$40</f>
        <v>1.3</v>
      </c>
      <c r="H26" s="107">
        <f>Table4[[#This Row],[THƯỞNG DOANH SỐ ]]*Table4[[#This Row],[HỆ SỐ RISK]]</f>
        <v>4589000</v>
      </c>
      <c r="I26" s="77"/>
      <c r="J26" s="82"/>
    </row>
    <row r="27" spans="2:10" ht="10.5" customHeight="1" thickBot="1" x14ac:dyDescent="0.35">
      <c r="B27" s="6"/>
      <c r="C27" s="29"/>
      <c r="D27" s="29"/>
      <c r="E27" s="29"/>
      <c r="F27" s="29"/>
      <c r="G27" s="29"/>
      <c r="H27" s="29"/>
      <c r="I27" s="29"/>
      <c r="J27" s="30"/>
    </row>
    <row r="28" spans="2:10" ht="10.5" customHeight="1" x14ac:dyDescent="0.3"/>
    <row r="30" spans="2:10" ht="15" customHeight="1" x14ac:dyDescent="0.3"/>
  </sheetData>
  <sheetProtection formatCells="0" formatColumns="0" formatRows="0"/>
  <mergeCells count="8">
    <mergeCell ref="C5:I5"/>
    <mergeCell ref="C20:I20"/>
    <mergeCell ref="C24:I24"/>
    <mergeCell ref="C3:I3"/>
    <mergeCell ref="C4:I4"/>
    <mergeCell ref="C12:I12"/>
    <mergeCell ref="C16:I16"/>
    <mergeCell ref="C6:I6"/>
  </mergeCells>
  <phoneticPr fontId="13" type="noConversion"/>
  <conditionalFormatting sqref="E26:F26">
    <cfRule type="cellIs" dxfId="8" priority="1" operator="equal">
      <formula>"CUP"</formula>
    </cfRule>
  </conditionalFormatting>
  <pageMargins left="6.25E-2" right="1.0416666666666666E-2" top="0.73958333333333337" bottom="0.5" header="0.5" footer="0.75"/>
  <pageSetup orientation="portrait" horizontalDpi="1200" verticalDpi="1200" r:id="rId1"/>
  <legacy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308"/>
  <sheetViews>
    <sheetView showGridLines="0" zoomScaleNormal="100" workbookViewId="0">
      <pane ySplit="1" topLeftCell="A2" activePane="bottomLeft" state="frozen"/>
      <selection activeCell="C3" sqref="C3:I3"/>
      <selection pane="bottomLeft" activeCell="A2" sqref="A2:B2"/>
    </sheetView>
  </sheetViews>
  <sheetFormatPr defaultColWidth="9.109375" defaultRowHeight="14.4" x14ac:dyDescent="0.3"/>
  <cols>
    <col min="1" max="1" width="14.5546875" style="66" bestFit="1" customWidth="1"/>
    <col min="2" max="2" width="26.44140625" style="32" customWidth="1"/>
    <col min="3" max="3" width="12.5546875" style="9" customWidth="1"/>
    <col min="4" max="4" width="10.44140625" style="9" customWidth="1"/>
    <col min="5" max="5" width="12.5546875" style="62" customWidth="1"/>
    <col min="6" max="6" width="13.44140625" style="26" customWidth="1"/>
    <col min="7" max="7" width="13" style="9" bestFit="1" customWidth="1"/>
    <col min="8" max="8" width="8.109375" style="14" customWidth="1"/>
    <col min="9" max="9" width="14" style="14" bestFit="1" customWidth="1"/>
    <col min="10" max="10" width="14.33203125" style="14" bestFit="1" customWidth="1"/>
    <col min="11" max="11" width="9.44140625" style="54" bestFit="1" customWidth="1"/>
    <col min="12" max="16384" width="9.109375" style="14"/>
  </cols>
  <sheetData>
    <row r="1" spans="1:11" s="13" customFormat="1" ht="28.8" x14ac:dyDescent="0.3">
      <c r="A1" s="65" t="s">
        <v>205</v>
      </c>
      <c r="B1" s="17" t="s">
        <v>206</v>
      </c>
      <c r="C1" s="17" t="s">
        <v>207</v>
      </c>
      <c r="D1" s="17" t="s">
        <v>208</v>
      </c>
      <c r="E1" s="60" t="s">
        <v>209</v>
      </c>
      <c r="F1" s="18" t="s">
        <v>210</v>
      </c>
      <c r="G1" s="17" t="s">
        <v>211</v>
      </c>
      <c r="H1" s="13" t="s">
        <v>212</v>
      </c>
      <c r="I1" s="13" t="s">
        <v>213</v>
      </c>
      <c r="J1" s="13" t="s">
        <v>214</v>
      </c>
    </row>
    <row r="2" spans="1:11" ht="43.2" x14ac:dyDescent="0.3">
      <c r="A2" s="55" t="s">
        <v>175</v>
      </c>
      <c r="B2" s="55" t="s">
        <v>12</v>
      </c>
      <c r="C2" s="55" t="s">
        <v>13</v>
      </c>
      <c r="D2" s="55" t="s">
        <v>257</v>
      </c>
      <c r="E2" s="61" t="s">
        <v>14</v>
      </c>
      <c r="F2" s="55" t="s">
        <v>180</v>
      </c>
      <c r="G2" s="55" t="s">
        <v>15</v>
      </c>
      <c r="H2" s="56"/>
      <c r="I2" s="57" t="s">
        <v>174</v>
      </c>
      <c r="J2" s="57" t="s">
        <v>233</v>
      </c>
      <c r="K2" s="58" t="s">
        <v>231</v>
      </c>
    </row>
    <row r="3" spans="1:11" x14ac:dyDescent="0.3">
      <c r="A3" s="64">
        <v>45630</v>
      </c>
      <c r="B3" s="74" t="s">
        <v>223</v>
      </c>
      <c r="C3" s="48" t="s">
        <v>253</v>
      </c>
      <c r="D3" s="48">
        <v>9</v>
      </c>
      <c r="E3" s="72">
        <v>29000000</v>
      </c>
      <c r="F3" s="49" t="s">
        <v>179</v>
      </c>
      <c r="G3" s="73" t="s">
        <v>159</v>
      </c>
      <c r="I3" s="52">
        <f>CONVERT!B2</f>
        <v>0</v>
      </c>
      <c r="J3" s="52">
        <f>CONVERT!AM2</f>
        <v>202999.99999999997</v>
      </c>
      <c r="K3" s="71">
        <f>CONVERT!AL2</f>
        <v>0.7</v>
      </c>
    </row>
    <row r="4" spans="1:11" x14ac:dyDescent="0.3">
      <c r="A4" s="64">
        <v>45631</v>
      </c>
      <c r="B4" s="74" t="s">
        <v>223</v>
      </c>
      <c r="C4" s="48" t="s">
        <v>258</v>
      </c>
      <c r="D4" s="48">
        <v>12</v>
      </c>
      <c r="E4" s="72">
        <v>10000000</v>
      </c>
      <c r="F4" s="49" t="s">
        <v>178</v>
      </c>
      <c r="G4" s="73" t="s">
        <v>158</v>
      </c>
      <c r="I4" s="52">
        <f>CONVERT!B3</f>
        <v>10000</v>
      </c>
      <c r="J4" s="52">
        <f>CONVERT!AM3</f>
        <v>120000</v>
      </c>
      <c r="K4" s="71">
        <f>CONVERT!AL3</f>
        <v>1.2</v>
      </c>
    </row>
    <row r="5" spans="1:11" x14ac:dyDescent="0.3">
      <c r="A5" s="64">
        <v>45632</v>
      </c>
      <c r="B5" s="74" t="s">
        <v>223</v>
      </c>
      <c r="C5" s="48" t="s">
        <v>259</v>
      </c>
      <c r="D5" s="48">
        <v>36</v>
      </c>
      <c r="E5" s="72">
        <v>9000000</v>
      </c>
      <c r="F5" s="49" t="s">
        <v>179</v>
      </c>
      <c r="G5" s="73" t="s">
        <v>159</v>
      </c>
      <c r="I5" s="52">
        <f>CONVERT!B4</f>
        <v>0</v>
      </c>
      <c r="J5" s="52">
        <f>CONVERT!AM4</f>
        <v>125999.99999999999</v>
      </c>
      <c r="K5" s="71">
        <f>CONVERT!AL4</f>
        <v>1.4</v>
      </c>
    </row>
    <row r="6" spans="1:11" x14ac:dyDescent="0.3">
      <c r="A6" s="64">
        <v>45633</v>
      </c>
      <c r="B6" s="74" t="s">
        <v>223</v>
      </c>
      <c r="C6" s="48" t="s">
        <v>260</v>
      </c>
      <c r="D6" s="48">
        <v>15</v>
      </c>
      <c r="E6" s="72">
        <v>29000000</v>
      </c>
      <c r="F6" s="49" t="s">
        <v>178</v>
      </c>
      <c r="G6" s="73" t="s">
        <v>158</v>
      </c>
      <c r="I6" s="52">
        <f>CONVERT!B5</f>
        <v>36000</v>
      </c>
      <c r="J6" s="52">
        <f>CONVERT!AM5</f>
        <v>435000</v>
      </c>
      <c r="K6" s="71">
        <f>CONVERT!AL5</f>
        <v>1.5</v>
      </c>
    </row>
    <row r="7" spans="1:11" x14ac:dyDescent="0.3">
      <c r="A7" s="64">
        <v>45634</v>
      </c>
      <c r="B7" s="74" t="s">
        <v>223</v>
      </c>
      <c r="C7" s="48" t="s">
        <v>261</v>
      </c>
      <c r="D7" s="48">
        <v>15</v>
      </c>
      <c r="E7" s="72">
        <v>29000000</v>
      </c>
      <c r="F7" s="49" t="s">
        <v>178</v>
      </c>
      <c r="G7" s="73" t="s">
        <v>160</v>
      </c>
      <c r="I7" s="52">
        <f>CONVERT!B6</f>
        <v>31000</v>
      </c>
      <c r="J7" s="52">
        <f>CONVERT!AM6</f>
        <v>87000</v>
      </c>
      <c r="K7" s="71">
        <f>CONVERT!AL6</f>
        <v>0.3</v>
      </c>
    </row>
    <row r="8" spans="1:11" x14ac:dyDescent="0.3">
      <c r="A8" s="64">
        <v>45635</v>
      </c>
      <c r="B8" s="74" t="s">
        <v>223</v>
      </c>
      <c r="C8" s="48" t="s">
        <v>262</v>
      </c>
      <c r="D8" s="48">
        <v>12</v>
      </c>
      <c r="E8" s="72">
        <v>29000000</v>
      </c>
      <c r="F8" s="49" t="s">
        <v>178</v>
      </c>
      <c r="G8" s="73" t="s">
        <v>158</v>
      </c>
      <c r="I8" s="52">
        <f>CONVERT!B7</f>
        <v>26000</v>
      </c>
      <c r="J8" s="52">
        <f>CONVERT!AM7</f>
        <v>348000</v>
      </c>
      <c r="K8" s="71">
        <f>CONVERT!AL7</f>
        <v>1.2</v>
      </c>
    </row>
    <row r="9" spans="1:11" x14ac:dyDescent="0.3">
      <c r="A9" s="64">
        <v>45636</v>
      </c>
      <c r="B9" s="74" t="s">
        <v>223</v>
      </c>
      <c r="C9" s="48" t="s">
        <v>263</v>
      </c>
      <c r="D9" s="48">
        <v>9</v>
      </c>
      <c r="E9" s="72">
        <v>9000000</v>
      </c>
      <c r="F9" s="49" t="s">
        <v>178</v>
      </c>
      <c r="G9" s="73" t="s">
        <v>160</v>
      </c>
      <c r="I9" s="52">
        <f>CONVERT!B8</f>
        <v>10000</v>
      </c>
      <c r="J9" s="52">
        <f>CONVERT!AM8</f>
        <v>0</v>
      </c>
      <c r="K9" s="71">
        <f>CONVERT!AL8</f>
        <v>0</v>
      </c>
    </row>
    <row r="10" spans="1:11" x14ac:dyDescent="0.3">
      <c r="A10" s="64">
        <v>45637</v>
      </c>
      <c r="B10" s="74" t="s">
        <v>223</v>
      </c>
      <c r="C10" s="48" t="s">
        <v>264</v>
      </c>
      <c r="D10" s="48">
        <v>6</v>
      </c>
      <c r="E10" s="72">
        <v>29000000</v>
      </c>
      <c r="F10" s="49" t="s">
        <v>178</v>
      </c>
      <c r="G10" s="73" t="s">
        <v>158</v>
      </c>
      <c r="I10" s="52">
        <f>CONVERT!B9</f>
        <v>26000</v>
      </c>
      <c r="J10" s="52">
        <f>CONVERT!AM9</f>
        <v>261000.00000000003</v>
      </c>
      <c r="K10" s="71">
        <f>CONVERT!AL9</f>
        <v>0.9</v>
      </c>
    </row>
    <row r="11" spans="1:11" x14ac:dyDescent="0.3">
      <c r="A11" s="64">
        <v>45638</v>
      </c>
      <c r="B11" s="74" t="s">
        <v>223</v>
      </c>
      <c r="C11" s="48" t="s">
        <v>265</v>
      </c>
      <c r="D11" s="48">
        <v>6</v>
      </c>
      <c r="E11" s="72">
        <v>9000000</v>
      </c>
      <c r="F11" s="49" t="s">
        <v>178</v>
      </c>
      <c r="G11" s="73" t="s">
        <v>161</v>
      </c>
      <c r="I11" s="52">
        <f>CONVERT!B10</f>
        <v>10000</v>
      </c>
      <c r="J11" s="52">
        <f>CONVERT!AM10</f>
        <v>0</v>
      </c>
      <c r="K11" s="71">
        <f>CONVERT!AL10</f>
        <v>0</v>
      </c>
    </row>
    <row r="12" spans="1:11" x14ac:dyDescent="0.3">
      <c r="A12" s="64">
        <v>45639</v>
      </c>
      <c r="B12" s="74" t="s">
        <v>223</v>
      </c>
      <c r="C12" s="48" t="s">
        <v>266</v>
      </c>
      <c r="D12" s="48">
        <v>5</v>
      </c>
      <c r="E12" s="72">
        <v>29000000</v>
      </c>
      <c r="F12" s="49" t="s">
        <v>178</v>
      </c>
      <c r="G12" s="73" t="s">
        <v>158</v>
      </c>
      <c r="I12" s="52">
        <f>CONVERT!B11</f>
        <v>26000</v>
      </c>
      <c r="J12" s="52">
        <f>CONVERT!AM11</f>
        <v>261000.00000000003</v>
      </c>
      <c r="K12" s="71">
        <f>CONVERT!AL11</f>
        <v>0.9</v>
      </c>
    </row>
    <row r="13" spans="1:11" x14ac:dyDescent="0.3">
      <c r="A13" s="64">
        <v>45640</v>
      </c>
      <c r="B13" s="74" t="s">
        <v>223</v>
      </c>
      <c r="C13" s="48" t="s">
        <v>267</v>
      </c>
      <c r="D13" s="48">
        <v>18</v>
      </c>
      <c r="E13" s="72">
        <v>9000000</v>
      </c>
      <c r="F13" s="49" t="s">
        <v>178</v>
      </c>
      <c r="G13" s="73" t="s">
        <v>158</v>
      </c>
      <c r="I13" s="52">
        <f>CONVERT!B12</f>
        <v>20000</v>
      </c>
      <c r="J13" s="52">
        <f>CONVERT!AM12</f>
        <v>135000</v>
      </c>
      <c r="K13" s="71">
        <f>CONVERT!AL12</f>
        <v>1.5</v>
      </c>
    </row>
    <row r="14" spans="1:11" x14ac:dyDescent="0.3">
      <c r="A14" s="64">
        <v>45641</v>
      </c>
      <c r="B14" s="74" t="s">
        <v>223</v>
      </c>
      <c r="C14" s="48" t="s">
        <v>268</v>
      </c>
      <c r="D14" s="48">
        <v>18</v>
      </c>
      <c r="E14" s="72">
        <v>9000000</v>
      </c>
      <c r="F14" s="49" t="s">
        <v>178</v>
      </c>
      <c r="G14" s="73" t="s">
        <v>161</v>
      </c>
      <c r="I14" s="52">
        <f>CONVERT!B13</f>
        <v>20000</v>
      </c>
      <c r="J14" s="52">
        <f>CONVERT!AM13</f>
        <v>0</v>
      </c>
      <c r="K14" s="71">
        <f>CONVERT!AL13</f>
        <v>0</v>
      </c>
    </row>
    <row r="15" spans="1:11" x14ac:dyDescent="0.3">
      <c r="A15" s="64">
        <v>45642</v>
      </c>
      <c r="B15" s="74" t="s">
        <v>223</v>
      </c>
      <c r="C15" s="48" t="s">
        <v>269</v>
      </c>
      <c r="D15" s="48">
        <v>18</v>
      </c>
      <c r="E15" s="72">
        <v>9000000</v>
      </c>
      <c r="F15" s="49" t="s">
        <v>178</v>
      </c>
      <c r="G15" s="73" t="s">
        <v>158</v>
      </c>
      <c r="I15" s="52">
        <f>CONVERT!B14</f>
        <v>20000</v>
      </c>
      <c r="J15" s="52">
        <f>CONVERT!AM14</f>
        <v>135000</v>
      </c>
      <c r="K15" s="71">
        <f>CONVERT!AL14</f>
        <v>1.5</v>
      </c>
    </row>
    <row r="16" spans="1:11" x14ac:dyDescent="0.3">
      <c r="A16" s="64">
        <v>45643</v>
      </c>
      <c r="B16" s="74" t="s">
        <v>223</v>
      </c>
      <c r="C16" s="48" t="s">
        <v>270</v>
      </c>
      <c r="D16" s="48">
        <v>18</v>
      </c>
      <c r="E16" s="72">
        <v>29000000</v>
      </c>
      <c r="F16" s="49" t="s">
        <v>178</v>
      </c>
      <c r="G16" s="73" t="s">
        <v>159</v>
      </c>
      <c r="I16" s="52">
        <f>CONVERT!B15</f>
        <v>36000</v>
      </c>
      <c r="J16" s="52">
        <f>CONVERT!AM15</f>
        <v>377000.00000000006</v>
      </c>
      <c r="K16" s="71">
        <f>CONVERT!AL15</f>
        <v>1.3</v>
      </c>
    </row>
    <row r="17" spans="1:11" x14ac:dyDescent="0.3">
      <c r="A17" s="64">
        <v>45644</v>
      </c>
      <c r="B17" s="74" t="s">
        <v>223</v>
      </c>
      <c r="C17" s="48" t="s">
        <v>271</v>
      </c>
      <c r="D17" s="48">
        <v>18</v>
      </c>
      <c r="E17" s="72">
        <v>9000000</v>
      </c>
      <c r="F17" s="49" t="s">
        <v>178</v>
      </c>
      <c r="G17" s="73" t="s">
        <v>158</v>
      </c>
      <c r="I17" s="52">
        <f>CONVERT!B16</f>
        <v>20000</v>
      </c>
      <c r="J17" s="52">
        <f>CONVERT!AM16</f>
        <v>135000</v>
      </c>
      <c r="K17" s="71">
        <f>CONVERT!AL16</f>
        <v>1.5</v>
      </c>
    </row>
    <row r="18" spans="1:11" x14ac:dyDescent="0.3">
      <c r="A18" s="64">
        <v>45645</v>
      </c>
      <c r="B18" s="74" t="s">
        <v>223</v>
      </c>
      <c r="C18" s="48" t="s">
        <v>272</v>
      </c>
      <c r="D18" s="48">
        <v>18</v>
      </c>
      <c r="E18" s="72">
        <v>9000000</v>
      </c>
      <c r="F18" s="49" t="s">
        <v>178</v>
      </c>
      <c r="G18" s="73" t="s">
        <v>159</v>
      </c>
      <c r="I18" s="52">
        <f>CONVERT!B17</f>
        <v>20000</v>
      </c>
      <c r="J18" s="52">
        <f>CONVERT!AM17</f>
        <v>117000.00000000001</v>
      </c>
      <c r="K18" s="71">
        <f>CONVERT!AL17</f>
        <v>1.3</v>
      </c>
    </row>
    <row r="19" spans="1:11" x14ac:dyDescent="0.3">
      <c r="A19" s="64">
        <v>45646</v>
      </c>
      <c r="B19" s="74" t="s">
        <v>223</v>
      </c>
      <c r="C19" s="48" t="s">
        <v>273</v>
      </c>
      <c r="D19" s="48">
        <v>18</v>
      </c>
      <c r="E19" s="72">
        <v>29000000</v>
      </c>
      <c r="F19" s="49" t="s">
        <v>178</v>
      </c>
      <c r="G19" s="73" t="s">
        <v>159</v>
      </c>
      <c r="I19" s="52">
        <f>CONVERT!B18</f>
        <v>36000</v>
      </c>
      <c r="J19" s="52">
        <f>CONVERT!AM18</f>
        <v>377000.00000000006</v>
      </c>
      <c r="K19" s="71">
        <f>CONVERT!AL18</f>
        <v>1.3</v>
      </c>
    </row>
    <row r="20" spans="1:11" x14ac:dyDescent="0.3">
      <c r="A20" s="64">
        <v>45647</v>
      </c>
      <c r="B20" s="74" t="s">
        <v>223</v>
      </c>
      <c r="C20" s="48" t="s">
        <v>274</v>
      </c>
      <c r="D20" s="48">
        <v>18</v>
      </c>
      <c r="E20" s="72">
        <v>9000000</v>
      </c>
      <c r="F20" s="49" t="s">
        <v>178</v>
      </c>
      <c r="G20" s="73" t="s">
        <v>160</v>
      </c>
      <c r="I20" s="52">
        <f>CONVERT!B19</f>
        <v>20000</v>
      </c>
      <c r="J20" s="52">
        <f>CONVERT!AM19</f>
        <v>36000</v>
      </c>
      <c r="K20" s="71">
        <f>CONVERT!AL19</f>
        <v>0.4</v>
      </c>
    </row>
    <row r="21" spans="1:11" x14ac:dyDescent="0.3">
      <c r="A21" s="64">
        <v>45648</v>
      </c>
      <c r="B21" s="74" t="s">
        <v>223</v>
      </c>
      <c r="C21" s="48" t="s">
        <v>275</v>
      </c>
      <c r="D21" s="48">
        <v>18</v>
      </c>
      <c r="E21" s="72">
        <v>29000000</v>
      </c>
      <c r="F21" s="49" t="s">
        <v>178</v>
      </c>
      <c r="G21" s="73" t="s">
        <v>159</v>
      </c>
      <c r="I21" s="52">
        <f>CONVERT!B20</f>
        <v>36000</v>
      </c>
      <c r="J21" s="52">
        <f>CONVERT!AM20</f>
        <v>377000.00000000006</v>
      </c>
      <c r="K21" s="71">
        <f>CONVERT!AL20</f>
        <v>1.3</v>
      </c>
    </row>
    <row r="22" spans="1:11" x14ac:dyDescent="0.3">
      <c r="A22" s="64"/>
      <c r="B22" s="74"/>
      <c r="C22" s="48"/>
      <c r="D22" s="48"/>
      <c r="E22" s="72"/>
      <c r="F22" s="49"/>
      <c r="G22" s="73"/>
      <c r="I22" s="52"/>
      <c r="J22" s="52"/>
      <c r="K22" s="71"/>
    </row>
    <row r="23" spans="1:11" x14ac:dyDescent="0.3">
      <c r="A23" s="64"/>
      <c r="B23" s="74"/>
      <c r="C23" s="48"/>
      <c r="D23" s="48"/>
      <c r="E23" s="72"/>
      <c r="F23" s="49"/>
      <c r="G23" s="73"/>
      <c r="I23" s="52"/>
      <c r="J23" s="52"/>
      <c r="K23" s="71"/>
    </row>
    <row r="24" spans="1:11" x14ac:dyDescent="0.3">
      <c r="A24" s="64"/>
      <c r="B24" s="74"/>
      <c r="C24" s="48"/>
      <c r="D24" s="48"/>
      <c r="E24" s="72"/>
      <c r="F24" s="49"/>
      <c r="G24" s="73"/>
      <c r="I24" s="52"/>
      <c r="J24" s="52"/>
      <c r="K24" s="71"/>
    </row>
    <row r="25" spans="1:11" x14ac:dyDescent="0.3">
      <c r="A25" s="64"/>
      <c r="B25" s="74"/>
      <c r="C25" s="48"/>
      <c r="D25" s="48"/>
      <c r="E25" s="72"/>
      <c r="F25" s="49"/>
      <c r="G25" s="73"/>
      <c r="I25" s="52"/>
      <c r="J25" s="52"/>
      <c r="K25" s="71"/>
    </row>
    <row r="26" spans="1:11" x14ac:dyDescent="0.3">
      <c r="A26" s="64"/>
      <c r="B26" s="74"/>
      <c r="C26" s="48"/>
      <c r="D26" s="48"/>
      <c r="E26" s="72"/>
      <c r="F26" s="49"/>
      <c r="G26" s="73"/>
      <c r="I26" s="52"/>
      <c r="J26" s="52"/>
      <c r="K26" s="71"/>
    </row>
    <row r="27" spans="1:11" x14ac:dyDescent="0.3">
      <c r="A27" s="64"/>
      <c r="B27" s="74"/>
      <c r="C27" s="48"/>
      <c r="D27" s="48"/>
      <c r="E27" s="72"/>
      <c r="F27" s="49"/>
      <c r="G27" s="73"/>
      <c r="I27" s="52"/>
      <c r="J27" s="52"/>
      <c r="K27" s="71"/>
    </row>
    <row r="28" spans="1:11" x14ac:dyDescent="0.3">
      <c r="A28" s="64"/>
      <c r="B28" s="74"/>
      <c r="C28" s="48"/>
      <c r="D28" s="48"/>
      <c r="E28" s="72"/>
      <c r="F28" s="49"/>
      <c r="G28" s="73"/>
      <c r="I28" s="52"/>
      <c r="J28" s="52"/>
      <c r="K28" s="71"/>
    </row>
    <row r="29" spans="1:11" x14ac:dyDescent="0.3">
      <c r="A29" s="64"/>
      <c r="B29" s="74"/>
      <c r="C29" s="48"/>
      <c r="D29" s="48"/>
      <c r="E29" s="72"/>
      <c r="F29" s="49"/>
      <c r="G29" s="73"/>
      <c r="I29" s="52"/>
      <c r="J29" s="52"/>
      <c r="K29" s="71"/>
    </row>
    <row r="30" spans="1:11" x14ac:dyDescent="0.3">
      <c r="A30" s="64"/>
      <c r="B30" s="74"/>
      <c r="C30" s="48"/>
      <c r="D30" s="48"/>
      <c r="E30" s="72"/>
      <c r="F30" s="49"/>
      <c r="G30" s="73"/>
      <c r="I30" s="52"/>
      <c r="J30" s="52"/>
      <c r="K30" s="71"/>
    </row>
    <row r="31" spans="1:11" x14ac:dyDescent="0.3">
      <c r="A31" s="64"/>
      <c r="B31" s="74"/>
      <c r="C31" s="48"/>
      <c r="D31" s="48"/>
      <c r="E31" s="72"/>
      <c r="F31" s="49"/>
      <c r="G31" s="73"/>
      <c r="I31" s="52"/>
      <c r="J31" s="52"/>
      <c r="K31" s="71"/>
    </row>
    <row r="32" spans="1:11" x14ac:dyDescent="0.3">
      <c r="A32" s="64"/>
      <c r="B32" s="74"/>
      <c r="C32" s="48"/>
      <c r="D32" s="48"/>
      <c r="E32" s="72"/>
      <c r="F32" s="49"/>
      <c r="G32" s="73"/>
      <c r="I32" s="52"/>
      <c r="J32" s="52"/>
      <c r="K32" s="71"/>
    </row>
    <row r="33" spans="1:11" x14ac:dyDescent="0.3">
      <c r="A33" s="64"/>
      <c r="B33" s="74"/>
      <c r="C33" s="48"/>
      <c r="D33" s="48"/>
      <c r="E33" s="72"/>
      <c r="F33" s="49"/>
      <c r="G33" s="73"/>
      <c r="I33" s="52"/>
      <c r="J33" s="52"/>
      <c r="K33" s="71"/>
    </row>
    <row r="34" spans="1:11" x14ac:dyDescent="0.3">
      <c r="A34" s="64"/>
      <c r="B34" s="74"/>
      <c r="C34" s="48"/>
      <c r="D34" s="48"/>
      <c r="E34" s="72"/>
      <c r="F34" s="49"/>
      <c r="G34" s="73"/>
      <c r="I34" s="52"/>
      <c r="J34" s="52"/>
      <c r="K34" s="71"/>
    </row>
    <row r="35" spans="1:11" x14ac:dyDescent="0.3">
      <c r="A35" s="64"/>
      <c r="B35" s="74"/>
      <c r="C35" s="48"/>
      <c r="D35" s="48"/>
      <c r="E35" s="72"/>
      <c r="F35" s="49"/>
      <c r="G35" s="73"/>
      <c r="I35" s="52"/>
      <c r="J35" s="52"/>
      <c r="K35" s="71"/>
    </row>
    <row r="36" spans="1:11" x14ac:dyDescent="0.3">
      <c r="A36" s="64"/>
      <c r="B36" s="74"/>
      <c r="C36" s="48"/>
      <c r="D36" s="48"/>
      <c r="E36" s="72"/>
      <c r="F36" s="49"/>
      <c r="G36" s="73"/>
      <c r="I36" s="52"/>
      <c r="J36" s="52"/>
      <c r="K36" s="71"/>
    </row>
    <row r="37" spans="1:11" x14ac:dyDescent="0.3">
      <c r="A37" s="64"/>
      <c r="B37" s="74"/>
      <c r="C37" s="48"/>
      <c r="D37" s="48"/>
      <c r="E37" s="72"/>
      <c r="F37" s="49"/>
      <c r="G37" s="73"/>
      <c r="I37" s="52"/>
      <c r="J37" s="52"/>
      <c r="K37" s="71"/>
    </row>
    <row r="38" spans="1:11" x14ac:dyDescent="0.3">
      <c r="A38" s="64"/>
      <c r="B38" s="74"/>
      <c r="C38" s="48"/>
      <c r="D38" s="48"/>
      <c r="E38" s="72"/>
      <c r="F38" s="49"/>
      <c r="G38" s="73"/>
      <c r="I38" s="52"/>
      <c r="J38" s="52"/>
      <c r="K38" s="71"/>
    </row>
    <row r="39" spans="1:11" x14ac:dyDescent="0.3">
      <c r="A39" s="64"/>
      <c r="B39" s="74"/>
      <c r="C39" s="48"/>
      <c r="D39" s="48"/>
      <c r="E39" s="72"/>
      <c r="F39" s="49"/>
      <c r="G39" s="73"/>
      <c r="I39" s="52"/>
      <c r="J39" s="52"/>
      <c r="K39" s="71"/>
    </row>
    <row r="40" spans="1:11" x14ac:dyDescent="0.3">
      <c r="A40" s="64"/>
      <c r="B40" s="74"/>
      <c r="C40" s="48"/>
      <c r="D40" s="48"/>
      <c r="E40" s="72"/>
      <c r="F40" s="49"/>
      <c r="G40" s="73"/>
      <c r="I40" s="52"/>
      <c r="J40" s="52"/>
      <c r="K40" s="71"/>
    </row>
    <row r="41" spans="1:11" x14ac:dyDescent="0.3">
      <c r="A41" s="64"/>
      <c r="B41" s="74"/>
      <c r="C41" s="48"/>
      <c r="D41" s="48"/>
      <c r="E41" s="72"/>
      <c r="F41" s="49"/>
      <c r="G41" s="73"/>
      <c r="I41" s="52"/>
      <c r="J41" s="52"/>
      <c r="K41" s="71"/>
    </row>
    <row r="42" spans="1:11" x14ac:dyDescent="0.3">
      <c r="A42" s="64"/>
      <c r="B42" s="74"/>
      <c r="C42" s="48"/>
      <c r="D42" s="48"/>
      <c r="E42" s="72"/>
      <c r="F42" s="49"/>
      <c r="G42" s="73"/>
      <c r="I42" s="52"/>
      <c r="J42" s="52"/>
      <c r="K42" s="71"/>
    </row>
    <row r="43" spans="1:11" x14ac:dyDescent="0.3">
      <c r="A43" s="64"/>
      <c r="B43" s="74"/>
      <c r="C43" s="48"/>
      <c r="D43" s="48"/>
      <c r="E43" s="72"/>
      <c r="F43" s="49"/>
      <c r="G43" s="73"/>
      <c r="I43" s="52"/>
      <c r="J43" s="52"/>
      <c r="K43" s="71"/>
    </row>
    <row r="44" spans="1:11" x14ac:dyDescent="0.3">
      <c r="A44" s="64"/>
      <c r="B44" s="74"/>
      <c r="C44" s="48"/>
      <c r="D44" s="48"/>
      <c r="E44" s="72"/>
      <c r="F44" s="49"/>
      <c r="G44" s="73"/>
      <c r="I44" s="52"/>
      <c r="J44" s="52"/>
      <c r="K44" s="71"/>
    </row>
    <row r="45" spans="1:11" x14ac:dyDescent="0.3">
      <c r="A45" s="64"/>
      <c r="B45" s="74"/>
      <c r="C45" s="48"/>
      <c r="D45" s="48"/>
      <c r="E45" s="72"/>
      <c r="F45" s="49"/>
      <c r="G45" s="73"/>
      <c r="I45" s="52"/>
      <c r="J45" s="52"/>
      <c r="K45" s="71"/>
    </row>
    <row r="46" spans="1:11" x14ac:dyDescent="0.3">
      <c r="A46" s="64"/>
      <c r="B46" s="74"/>
      <c r="C46" s="48"/>
      <c r="D46" s="48"/>
      <c r="E46" s="72"/>
      <c r="F46" s="49"/>
      <c r="G46" s="73"/>
      <c r="I46" s="52"/>
      <c r="J46" s="52"/>
      <c r="K46" s="71"/>
    </row>
    <row r="47" spans="1:11" x14ac:dyDescent="0.3">
      <c r="A47" s="64"/>
      <c r="B47" s="74"/>
      <c r="C47" s="48"/>
      <c r="D47" s="48"/>
      <c r="E47" s="72"/>
      <c r="F47" s="49"/>
      <c r="G47" s="73"/>
      <c r="I47" s="52"/>
      <c r="J47" s="52"/>
      <c r="K47" s="71"/>
    </row>
    <row r="48" spans="1:11" x14ac:dyDescent="0.3">
      <c r="A48" s="64"/>
      <c r="B48" s="74"/>
      <c r="C48" s="48"/>
      <c r="D48" s="48"/>
      <c r="E48" s="72"/>
      <c r="F48" s="49"/>
      <c r="G48" s="73"/>
      <c r="I48" s="52"/>
      <c r="J48" s="52"/>
      <c r="K48" s="71"/>
    </row>
    <row r="49" spans="1:11" x14ac:dyDescent="0.3">
      <c r="A49" s="64"/>
      <c r="B49" s="74"/>
      <c r="C49" s="48"/>
      <c r="D49" s="48"/>
      <c r="E49" s="72"/>
      <c r="F49" s="49"/>
      <c r="G49" s="73"/>
      <c r="I49" s="52"/>
      <c r="J49" s="52"/>
      <c r="K49" s="71"/>
    </row>
    <row r="50" spans="1:11" x14ac:dyDescent="0.3">
      <c r="A50" s="64"/>
      <c r="B50" s="74"/>
      <c r="C50" s="48"/>
      <c r="D50" s="48"/>
      <c r="E50" s="72"/>
      <c r="F50" s="49"/>
      <c r="G50" s="73"/>
      <c r="I50" s="52"/>
      <c r="J50" s="52"/>
      <c r="K50" s="71"/>
    </row>
    <row r="51" spans="1:11" x14ac:dyDescent="0.3">
      <c r="A51" s="64"/>
      <c r="B51" s="74"/>
      <c r="C51" s="48"/>
      <c r="D51" s="48"/>
      <c r="E51" s="72"/>
      <c r="F51" s="49"/>
      <c r="G51" s="73"/>
      <c r="I51" s="52"/>
      <c r="J51" s="52"/>
      <c r="K51" s="71"/>
    </row>
    <row r="52" spans="1:11" x14ac:dyDescent="0.3">
      <c r="A52" s="64"/>
      <c r="B52" s="74"/>
      <c r="C52" s="48"/>
      <c r="D52" s="48"/>
      <c r="E52" s="72"/>
      <c r="F52" s="49"/>
      <c r="G52" s="73"/>
      <c r="I52" s="52"/>
      <c r="J52" s="52"/>
      <c r="K52" s="71"/>
    </row>
    <row r="53" spans="1:11" x14ac:dyDescent="0.3">
      <c r="A53" s="64"/>
      <c r="B53" s="74"/>
      <c r="C53" s="48"/>
      <c r="D53" s="48"/>
      <c r="E53" s="72"/>
      <c r="F53" s="49"/>
      <c r="G53" s="73"/>
      <c r="I53" s="52"/>
      <c r="J53" s="52"/>
      <c r="K53" s="71"/>
    </row>
    <row r="54" spans="1:11" x14ac:dyDescent="0.3">
      <c r="A54" s="64"/>
      <c r="B54" s="74"/>
      <c r="C54" s="48"/>
      <c r="D54" s="48"/>
      <c r="E54" s="72"/>
      <c r="F54" s="49"/>
      <c r="G54" s="73"/>
      <c r="I54" s="52"/>
      <c r="J54" s="52"/>
      <c r="K54" s="71"/>
    </row>
    <row r="55" spans="1:11" x14ac:dyDescent="0.3">
      <c r="A55" s="64"/>
      <c r="B55" s="74"/>
      <c r="C55" s="48"/>
      <c r="D55" s="48"/>
      <c r="E55" s="72"/>
      <c r="F55" s="49"/>
      <c r="G55" s="73"/>
      <c r="I55" s="52"/>
      <c r="J55" s="52"/>
      <c r="K55" s="71"/>
    </row>
    <row r="56" spans="1:11" x14ac:dyDescent="0.3">
      <c r="A56" s="64"/>
      <c r="B56" s="74"/>
      <c r="C56" s="48"/>
      <c r="D56" s="48"/>
      <c r="E56" s="72"/>
      <c r="F56" s="49"/>
      <c r="G56" s="73"/>
      <c r="I56" s="52"/>
      <c r="J56" s="52"/>
      <c r="K56" s="71"/>
    </row>
    <row r="57" spans="1:11" x14ac:dyDescent="0.3">
      <c r="A57" s="64"/>
      <c r="B57" s="74"/>
      <c r="C57" s="48"/>
      <c r="D57" s="48"/>
      <c r="E57" s="72"/>
      <c r="F57" s="49"/>
      <c r="G57" s="73"/>
      <c r="I57" s="52"/>
      <c r="J57" s="52"/>
      <c r="K57" s="71"/>
    </row>
    <row r="58" spans="1:11" x14ac:dyDescent="0.3">
      <c r="A58" s="64"/>
      <c r="B58" s="74"/>
      <c r="C58" s="48"/>
      <c r="D58" s="48"/>
      <c r="E58" s="72"/>
      <c r="F58" s="49"/>
      <c r="G58" s="73"/>
      <c r="I58" s="52"/>
      <c r="J58" s="52"/>
      <c r="K58" s="71"/>
    </row>
    <row r="59" spans="1:11" x14ac:dyDescent="0.3">
      <c r="A59" s="64"/>
      <c r="B59" s="74"/>
      <c r="C59" s="48"/>
      <c r="D59" s="48"/>
      <c r="E59" s="72"/>
      <c r="F59" s="49"/>
      <c r="G59" s="73"/>
      <c r="I59" s="52"/>
      <c r="J59" s="52"/>
      <c r="K59" s="71"/>
    </row>
    <row r="60" spans="1:11" x14ac:dyDescent="0.3">
      <c r="A60" s="64"/>
      <c r="B60" s="74"/>
      <c r="C60" s="48"/>
      <c r="D60" s="48"/>
      <c r="E60" s="72"/>
      <c r="F60" s="49"/>
      <c r="G60" s="73"/>
      <c r="I60" s="52"/>
      <c r="J60" s="52"/>
      <c r="K60" s="71"/>
    </row>
    <row r="61" spans="1:11" x14ac:dyDescent="0.3">
      <c r="A61" s="64"/>
      <c r="B61" s="74"/>
      <c r="C61" s="48"/>
      <c r="D61" s="48"/>
      <c r="E61" s="72"/>
      <c r="F61" s="49"/>
      <c r="G61" s="73"/>
      <c r="I61" s="52"/>
      <c r="J61" s="52"/>
      <c r="K61" s="71"/>
    </row>
    <row r="62" spans="1:11" x14ac:dyDescent="0.3">
      <c r="A62" s="64"/>
      <c r="B62" s="74"/>
      <c r="C62" s="48"/>
      <c r="D62" s="48"/>
      <c r="E62" s="72"/>
      <c r="F62" s="49"/>
      <c r="G62" s="73"/>
      <c r="I62" s="52"/>
      <c r="J62" s="52"/>
      <c r="K62" s="71"/>
    </row>
    <row r="63" spans="1:11" x14ac:dyDescent="0.3">
      <c r="A63" s="64"/>
      <c r="B63" s="74"/>
      <c r="C63" s="48"/>
      <c r="D63" s="48"/>
      <c r="E63" s="72"/>
      <c r="F63" s="49"/>
      <c r="G63" s="73"/>
      <c r="I63" s="52"/>
      <c r="J63" s="52"/>
      <c r="K63" s="71"/>
    </row>
    <row r="64" spans="1:11" x14ac:dyDescent="0.3">
      <c r="A64" s="64"/>
      <c r="B64" s="74"/>
      <c r="C64" s="48"/>
      <c r="D64" s="48"/>
      <c r="E64" s="72"/>
      <c r="F64" s="49"/>
      <c r="G64" s="73"/>
      <c r="I64" s="52"/>
      <c r="J64" s="52"/>
      <c r="K64" s="71"/>
    </row>
    <row r="65" spans="1:11" x14ac:dyDescent="0.3">
      <c r="A65" s="64"/>
      <c r="B65" s="74"/>
      <c r="C65" s="48"/>
      <c r="D65" s="48"/>
      <c r="E65" s="72"/>
      <c r="F65" s="49"/>
      <c r="G65" s="73"/>
      <c r="I65" s="52"/>
      <c r="J65" s="52"/>
      <c r="K65" s="71"/>
    </row>
    <row r="66" spans="1:11" x14ac:dyDescent="0.3">
      <c r="A66" s="64"/>
      <c r="B66" s="74"/>
      <c r="C66" s="48"/>
      <c r="D66" s="48"/>
      <c r="E66" s="72"/>
      <c r="F66" s="49"/>
      <c r="G66" s="73"/>
      <c r="I66" s="52"/>
      <c r="J66" s="52"/>
      <c r="K66" s="71"/>
    </row>
    <row r="67" spans="1:11" x14ac:dyDescent="0.3">
      <c r="A67" s="64"/>
      <c r="B67" s="74"/>
      <c r="C67" s="48"/>
      <c r="D67" s="48"/>
      <c r="E67" s="72"/>
      <c r="F67" s="49"/>
      <c r="G67" s="73"/>
      <c r="I67" s="52"/>
      <c r="J67" s="52"/>
      <c r="K67" s="71"/>
    </row>
    <row r="68" spans="1:11" x14ac:dyDescent="0.3">
      <c r="A68" s="64"/>
      <c r="B68" s="74"/>
      <c r="C68" s="48"/>
      <c r="D68" s="48"/>
      <c r="E68" s="72"/>
      <c r="F68" s="49"/>
      <c r="G68" s="73"/>
      <c r="I68" s="52"/>
      <c r="J68" s="52"/>
      <c r="K68" s="71"/>
    </row>
    <row r="69" spans="1:11" x14ac:dyDescent="0.3">
      <c r="A69" s="64"/>
      <c r="B69" s="74"/>
      <c r="C69" s="48"/>
      <c r="D69" s="48"/>
      <c r="E69" s="72"/>
      <c r="F69" s="49"/>
      <c r="G69" s="73"/>
      <c r="I69" s="52"/>
      <c r="J69" s="52"/>
      <c r="K69" s="71"/>
    </row>
    <row r="70" spans="1:11" x14ac:dyDescent="0.3">
      <c r="A70" s="64"/>
      <c r="B70" s="74"/>
      <c r="C70" s="48"/>
      <c r="D70" s="48"/>
      <c r="E70" s="72"/>
      <c r="F70" s="49"/>
      <c r="G70" s="73"/>
      <c r="I70" s="52"/>
      <c r="J70" s="52"/>
      <c r="K70" s="71"/>
    </row>
    <row r="71" spans="1:11" x14ac:dyDescent="0.3">
      <c r="A71" s="64"/>
      <c r="B71" s="74"/>
      <c r="C71" s="48"/>
      <c r="D71" s="48"/>
      <c r="E71" s="72"/>
      <c r="F71" s="49"/>
      <c r="G71" s="73"/>
      <c r="I71" s="52"/>
      <c r="J71" s="52"/>
      <c r="K71" s="71"/>
    </row>
    <row r="72" spans="1:11" x14ac:dyDescent="0.3">
      <c r="A72" s="64"/>
      <c r="B72" s="74"/>
      <c r="C72" s="48"/>
      <c r="D72" s="48"/>
      <c r="E72" s="72"/>
      <c r="F72" s="49"/>
      <c r="G72" s="73"/>
      <c r="I72" s="52"/>
      <c r="J72" s="52"/>
      <c r="K72" s="71"/>
    </row>
    <row r="73" spans="1:11" x14ac:dyDescent="0.3">
      <c r="A73" s="64"/>
      <c r="B73" s="74"/>
      <c r="C73" s="48"/>
      <c r="D73" s="48"/>
      <c r="E73" s="72"/>
      <c r="F73" s="49"/>
      <c r="G73" s="73"/>
      <c r="I73" s="52"/>
      <c r="J73" s="52"/>
      <c r="K73" s="71"/>
    </row>
    <row r="74" spans="1:11" x14ac:dyDescent="0.3">
      <c r="A74" s="64"/>
      <c r="B74" s="74"/>
      <c r="C74" s="48"/>
      <c r="D74" s="48"/>
      <c r="E74" s="72"/>
      <c r="F74" s="49"/>
      <c r="G74" s="73"/>
      <c r="I74" s="52"/>
      <c r="J74" s="52"/>
      <c r="K74" s="71"/>
    </row>
    <row r="75" spans="1:11" x14ac:dyDescent="0.3">
      <c r="A75" s="64"/>
      <c r="B75" s="74"/>
      <c r="C75" s="48"/>
      <c r="D75" s="48"/>
      <c r="E75" s="72"/>
      <c r="F75" s="49"/>
      <c r="G75" s="73"/>
      <c r="I75" s="52"/>
      <c r="J75" s="52"/>
      <c r="K75" s="71"/>
    </row>
    <row r="76" spans="1:11" x14ac:dyDescent="0.3">
      <c r="A76" s="64"/>
      <c r="B76" s="74"/>
      <c r="C76" s="48"/>
      <c r="D76" s="48"/>
      <c r="E76" s="72"/>
      <c r="F76" s="49"/>
      <c r="G76" s="73"/>
      <c r="I76" s="52"/>
      <c r="J76" s="52"/>
      <c r="K76" s="71"/>
    </row>
    <row r="77" spans="1:11" s="15" customFormat="1" x14ac:dyDescent="0.3">
      <c r="A77" s="64"/>
      <c r="B77" s="74"/>
      <c r="C77" s="48"/>
      <c r="D77" s="48"/>
      <c r="E77" s="72"/>
      <c r="F77" s="49"/>
      <c r="G77" s="73"/>
      <c r="H77" s="14"/>
      <c r="I77" s="52"/>
      <c r="J77" s="52"/>
      <c r="K77" s="71"/>
    </row>
    <row r="78" spans="1:11" s="15" customFormat="1" x14ac:dyDescent="0.3">
      <c r="A78" s="64"/>
      <c r="B78" s="74"/>
      <c r="C78" s="48"/>
      <c r="D78" s="48"/>
      <c r="E78" s="72"/>
      <c r="F78" s="49"/>
      <c r="G78" s="73"/>
      <c r="H78" s="14"/>
      <c r="I78" s="52"/>
      <c r="J78" s="52"/>
      <c r="K78" s="71"/>
    </row>
    <row r="79" spans="1:11" x14ac:dyDescent="0.3">
      <c r="A79" s="64"/>
      <c r="B79" s="74"/>
      <c r="C79" s="48"/>
      <c r="D79" s="48"/>
      <c r="E79" s="72"/>
      <c r="F79" s="49"/>
      <c r="G79" s="73"/>
      <c r="I79" s="52"/>
      <c r="J79" s="52"/>
      <c r="K79" s="71"/>
    </row>
    <row r="80" spans="1:11" x14ac:dyDescent="0.3">
      <c r="A80" s="64"/>
      <c r="B80" s="74"/>
      <c r="C80" s="48"/>
      <c r="D80" s="48"/>
      <c r="E80" s="72"/>
      <c r="F80" s="49"/>
      <c r="G80" s="73"/>
      <c r="I80" s="52"/>
      <c r="J80" s="52"/>
      <c r="K80" s="71"/>
    </row>
    <row r="81" spans="1:11" x14ac:dyDescent="0.3">
      <c r="A81" s="64"/>
      <c r="B81" s="74"/>
      <c r="C81" s="48"/>
      <c r="D81" s="48"/>
      <c r="E81" s="72"/>
      <c r="F81" s="49"/>
      <c r="G81" s="73"/>
      <c r="I81" s="52"/>
      <c r="J81" s="52"/>
      <c r="K81" s="71"/>
    </row>
    <row r="82" spans="1:11" x14ac:dyDescent="0.3">
      <c r="A82" s="64"/>
      <c r="B82" s="74"/>
      <c r="C82" s="48"/>
      <c r="D82" s="48"/>
      <c r="E82" s="72"/>
      <c r="F82" s="49"/>
      <c r="G82" s="73"/>
      <c r="I82" s="52"/>
      <c r="J82" s="52"/>
      <c r="K82" s="71"/>
    </row>
    <row r="83" spans="1:11" x14ac:dyDescent="0.3">
      <c r="A83" s="64"/>
      <c r="B83" s="74"/>
      <c r="C83" s="48"/>
      <c r="D83" s="48"/>
      <c r="E83" s="72"/>
      <c r="F83" s="49"/>
      <c r="G83" s="73"/>
      <c r="I83" s="52"/>
      <c r="J83" s="52"/>
      <c r="K83" s="71"/>
    </row>
    <row r="84" spans="1:11" x14ac:dyDescent="0.3">
      <c r="A84" s="64"/>
      <c r="B84" s="74"/>
      <c r="C84" s="48"/>
      <c r="D84" s="48"/>
      <c r="E84" s="72"/>
      <c r="F84" s="49"/>
      <c r="G84" s="73"/>
      <c r="I84" s="52"/>
      <c r="J84" s="52"/>
      <c r="K84" s="71"/>
    </row>
    <row r="85" spans="1:11" x14ac:dyDescent="0.3">
      <c r="A85" s="64"/>
      <c r="B85" s="74"/>
      <c r="C85" s="48"/>
      <c r="D85" s="48"/>
      <c r="E85" s="72"/>
      <c r="F85" s="49"/>
      <c r="G85" s="73"/>
      <c r="I85" s="52"/>
      <c r="J85" s="52"/>
      <c r="K85" s="71"/>
    </row>
    <row r="86" spans="1:11" x14ac:dyDescent="0.3">
      <c r="A86" s="64"/>
      <c r="B86" s="74"/>
      <c r="C86" s="48"/>
      <c r="D86" s="48"/>
      <c r="E86" s="72"/>
      <c r="F86" s="49"/>
      <c r="G86" s="73"/>
      <c r="I86" s="52"/>
      <c r="J86" s="52"/>
      <c r="K86" s="71"/>
    </row>
    <row r="87" spans="1:11" x14ac:dyDescent="0.3">
      <c r="A87" s="64"/>
      <c r="B87" s="74"/>
      <c r="C87" s="48"/>
      <c r="D87" s="48"/>
      <c r="E87" s="72"/>
      <c r="F87" s="49"/>
      <c r="G87" s="73"/>
      <c r="I87" s="52"/>
      <c r="J87" s="52"/>
      <c r="K87" s="71"/>
    </row>
    <row r="88" spans="1:11" x14ac:dyDescent="0.3">
      <c r="A88" s="64"/>
      <c r="B88" s="74"/>
      <c r="C88" s="48"/>
      <c r="D88" s="48"/>
      <c r="E88" s="72"/>
      <c r="F88" s="49"/>
      <c r="G88" s="73"/>
      <c r="I88" s="52"/>
      <c r="J88" s="52"/>
      <c r="K88" s="71"/>
    </row>
    <row r="89" spans="1:11" x14ac:dyDescent="0.3">
      <c r="A89" s="64"/>
      <c r="B89" s="74"/>
      <c r="C89" s="48"/>
      <c r="D89" s="48"/>
      <c r="E89" s="72"/>
      <c r="F89" s="49"/>
      <c r="G89" s="73"/>
      <c r="I89" s="52"/>
      <c r="J89" s="52"/>
      <c r="K89" s="71"/>
    </row>
    <row r="90" spans="1:11" x14ac:dyDescent="0.3">
      <c r="A90" s="64"/>
      <c r="B90" s="74"/>
      <c r="C90" s="48"/>
      <c r="D90" s="48"/>
      <c r="E90" s="72"/>
      <c r="F90" s="49"/>
      <c r="G90" s="73"/>
      <c r="I90" s="52"/>
      <c r="J90" s="52"/>
      <c r="K90" s="71"/>
    </row>
    <row r="91" spans="1:11" x14ac:dyDescent="0.3">
      <c r="A91" s="64"/>
      <c r="B91" s="74"/>
      <c r="C91" s="48"/>
      <c r="D91" s="48"/>
      <c r="E91" s="72"/>
      <c r="F91" s="49"/>
      <c r="G91" s="73"/>
      <c r="I91" s="52"/>
      <c r="J91" s="52"/>
      <c r="K91" s="71"/>
    </row>
    <row r="92" spans="1:11" x14ac:dyDescent="0.3">
      <c r="A92" s="64"/>
      <c r="B92" s="74"/>
      <c r="C92" s="48"/>
      <c r="D92" s="48"/>
      <c r="E92" s="72"/>
      <c r="F92" s="49"/>
      <c r="G92" s="73"/>
      <c r="I92" s="52"/>
      <c r="J92" s="52"/>
      <c r="K92" s="71"/>
    </row>
    <row r="93" spans="1:11" x14ac:dyDescent="0.3">
      <c r="A93" s="64"/>
      <c r="B93" s="74"/>
      <c r="C93" s="48"/>
      <c r="D93" s="48"/>
      <c r="E93" s="72"/>
      <c r="F93" s="49"/>
      <c r="G93" s="73"/>
      <c r="I93" s="52"/>
      <c r="J93" s="52"/>
      <c r="K93" s="71"/>
    </row>
    <row r="94" spans="1:11" x14ac:dyDescent="0.3">
      <c r="A94" s="64"/>
      <c r="B94" s="74"/>
      <c r="C94" s="48"/>
      <c r="D94" s="48"/>
      <c r="E94" s="72"/>
      <c r="F94" s="49"/>
      <c r="G94" s="73"/>
      <c r="I94" s="52"/>
      <c r="J94" s="52"/>
      <c r="K94" s="71"/>
    </row>
    <row r="95" spans="1:11" x14ac:dyDescent="0.3">
      <c r="A95" s="64"/>
      <c r="B95" s="74"/>
      <c r="C95" s="48"/>
      <c r="D95" s="48"/>
      <c r="E95" s="72"/>
      <c r="F95" s="49"/>
      <c r="G95" s="73"/>
      <c r="I95" s="52"/>
      <c r="J95" s="52"/>
      <c r="K95" s="71"/>
    </row>
    <row r="96" spans="1:11" x14ac:dyDescent="0.3">
      <c r="A96" s="64"/>
      <c r="B96" s="74"/>
      <c r="C96" s="48"/>
      <c r="D96" s="48"/>
      <c r="E96" s="72"/>
      <c r="F96" s="49"/>
      <c r="G96" s="73"/>
      <c r="I96" s="52"/>
      <c r="J96" s="52"/>
      <c r="K96" s="71"/>
    </row>
    <row r="97" spans="1:11" x14ac:dyDescent="0.3">
      <c r="A97" s="64"/>
      <c r="B97" s="74"/>
      <c r="C97" s="48"/>
      <c r="D97" s="48"/>
      <c r="E97" s="72"/>
      <c r="F97" s="49"/>
      <c r="G97" s="73"/>
      <c r="I97" s="52"/>
      <c r="J97" s="52"/>
      <c r="K97" s="71"/>
    </row>
    <row r="98" spans="1:11" x14ac:dyDescent="0.3">
      <c r="A98" s="64"/>
      <c r="B98" s="74"/>
      <c r="C98" s="48"/>
      <c r="D98" s="48"/>
      <c r="E98" s="72"/>
      <c r="F98" s="49"/>
      <c r="G98" s="73"/>
      <c r="I98" s="52"/>
      <c r="J98" s="52"/>
      <c r="K98" s="71"/>
    </row>
    <row r="99" spans="1:11" x14ac:dyDescent="0.3">
      <c r="A99" s="64"/>
      <c r="B99" s="74"/>
      <c r="C99" s="48"/>
      <c r="D99" s="48"/>
      <c r="E99" s="72"/>
      <c r="F99" s="49"/>
      <c r="G99" s="73"/>
      <c r="I99" s="52"/>
      <c r="J99" s="52"/>
      <c r="K99" s="71"/>
    </row>
    <row r="100" spans="1:11" x14ac:dyDescent="0.3">
      <c r="A100" s="64"/>
      <c r="B100" s="74"/>
      <c r="C100" s="48"/>
      <c r="D100" s="48"/>
      <c r="E100" s="72"/>
      <c r="F100" s="49"/>
      <c r="G100" s="73"/>
      <c r="I100" s="52"/>
      <c r="J100" s="52"/>
      <c r="K100" s="71"/>
    </row>
    <row r="101" spans="1:11" x14ac:dyDescent="0.3">
      <c r="A101" s="64"/>
      <c r="B101" s="74"/>
      <c r="C101" s="48"/>
      <c r="D101" s="48"/>
      <c r="E101" s="72"/>
      <c r="F101" s="49"/>
      <c r="G101" s="73"/>
      <c r="I101" s="52"/>
      <c r="J101" s="52"/>
      <c r="K101" s="71"/>
    </row>
    <row r="102" spans="1:11" x14ac:dyDescent="0.3">
      <c r="A102" s="64"/>
      <c r="B102" s="74"/>
      <c r="C102" s="48"/>
      <c r="D102" s="48"/>
      <c r="E102" s="72"/>
      <c r="F102" s="49"/>
      <c r="G102" s="73"/>
      <c r="I102" s="52"/>
      <c r="J102" s="52"/>
      <c r="K102" s="71"/>
    </row>
    <row r="103" spans="1:11" x14ac:dyDescent="0.3">
      <c r="A103" s="64"/>
      <c r="B103" s="74"/>
      <c r="C103" s="48"/>
      <c r="D103" s="48"/>
      <c r="E103" s="72"/>
      <c r="F103" s="49"/>
      <c r="G103" s="73"/>
      <c r="I103" s="52"/>
      <c r="J103" s="52"/>
      <c r="K103" s="71"/>
    </row>
    <row r="104" spans="1:11" x14ac:dyDescent="0.3">
      <c r="A104" s="64"/>
      <c r="B104" s="74"/>
      <c r="C104" s="48"/>
      <c r="D104" s="48"/>
      <c r="E104" s="72"/>
      <c r="F104" s="49"/>
      <c r="G104" s="73"/>
      <c r="I104" s="52"/>
      <c r="J104" s="52"/>
      <c r="K104" s="71"/>
    </row>
    <row r="105" spans="1:11" x14ac:dyDescent="0.3">
      <c r="A105" s="64"/>
      <c r="B105" s="74"/>
      <c r="C105" s="48"/>
      <c r="D105" s="48"/>
      <c r="E105" s="72"/>
      <c r="F105" s="49"/>
      <c r="G105" s="73"/>
      <c r="I105" s="52"/>
      <c r="J105" s="52"/>
      <c r="K105" s="71"/>
    </row>
    <row r="106" spans="1:11" x14ac:dyDescent="0.3">
      <c r="A106" s="64"/>
      <c r="B106" s="74"/>
      <c r="C106" s="48"/>
      <c r="D106" s="48"/>
      <c r="E106" s="72"/>
      <c r="F106" s="49"/>
      <c r="G106" s="73"/>
      <c r="I106" s="52"/>
      <c r="J106" s="52"/>
      <c r="K106" s="71"/>
    </row>
    <row r="107" spans="1:11" x14ac:dyDescent="0.3">
      <c r="A107" s="48"/>
      <c r="B107" s="48"/>
      <c r="C107" s="48"/>
      <c r="D107" s="48"/>
      <c r="E107" s="48"/>
      <c r="F107" s="49"/>
      <c r="G107" s="73"/>
      <c r="I107" s="52"/>
      <c r="J107" s="52"/>
      <c r="K107" s="71"/>
    </row>
    <row r="108" spans="1:11" x14ac:dyDescent="0.3">
      <c r="A108" s="48"/>
      <c r="B108" s="48"/>
      <c r="C108" s="48"/>
      <c r="D108" s="48"/>
      <c r="E108" s="48"/>
      <c r="F108" s="49"/>
      <c r="G108" s="73"/>
      <c r="I108" s="52">
        <f>CONVERT!B107</f>
        <v>0</v>
      </c>
      <c r="J108" s="52">
        <f>CONVERT!AM107</f>
        <v>0</v>
      </c>
      <c r="K108" s="71">
        <f>CONVERT!AL107</f>
        <v>0</v>
      </c>
    </row>
    <row r="109" spans="1:11" x14ac:dyDescent="0.3">
      <c r="A109" s="48"/>
      <c r="B109" s="48"/>
      <c r="C109" s="48"/>
      <c r="D109" s="48"/>
      <c r="E109" s="48"/>
      <c r="F109" s="49"/>
      <c r="G109" s="73"/>
      <c r="I109" s="52">
        <f>CONVERT!B108</f>
        <v>0</v>
      </c>
      <c r="J109" s="52">
        <f>CONVERT!AM108</f>
        <v>0</v>
      </c>
      <c r="K109" s="71">
        <f>CONVERT!AL108</f>
        <v>0</v>
      </c>
    </row>
    <row r="110" spans="1:11" x14ac:dyDescent="0.3">
      <c r="A110" s="48"/>
      <c r="B110" s="48"/>
      <c r="C110" s="48"/>
      <c r="D110" s="48"/>
      <c r="E110" s="48"/>
      <c r="F110" s="49"/>
      <c r="G110" s="73"/>
      <c r="I110" s="52">
        <f>CONVERT!B109</f>
        <v>0</v>
      </c>
      <c r="J110" s="52">
        <f>CONVERT!AM109</f>
        <v>0</v>
      </c>
      <c r="K110" s="71">
        <f>CONVERT!AL109</f>
        <v>0</v>
      </c>
    </row>
    <row r="111" spans="1:11" x14ac:dyDescent="0.3">
      <c r="A111" s="48"/>
      <c r="B111" s="48"/>
      <c r="C111" s="48"/>
      <c r="D111" s="48"/>
      <c r="E111" s="48"/>
      <c r="F111" s="49"/>
      <c r="G111" s="73"/>
      <c r="I111" s="52">
        <f>CONVERT!B110</f>
        <v>0</v>
      </c>
      <c r="J111" s="52">
        <f>CONVERT!AM110</f>
        <v>0</v>
      </c>
      <c r="K111" s="71">
        <f>CONVERT!AL110</f>
        <v>0</v>
      </c>
    </row>
    <row r="112" spans="1:11" x14ac:dyDescent="0.3">
      <c r="A112" s="48"/>
      <c r="B112" s="48"/>
      <c r="C112" s="48"/>
      <c r="D112" s="48"/>
      <c r="E112" s="48"/>
      <c r="F112" s="49"/>
      <c r="G112" s="73"/>
      <c r="I112" s="52">
        <f>CONVERT!B111</f>
        <v>0</v>
      </c>
      <c r="J112" s="52">
        <f>CONVERT!AM111</f>
        <v>0</v>
      </c>
      <c r="K112" s="71">
        <f>CONVERT!AL111</f>
        <v>0</v>
      </c>
    </row>
    <row r="113" spans="1:11" x14ac:dyDescent="0.3">
      <c r="A113" s="48"/>
      <c r="B113" s="48"/>
      <c r="C113" s="48"/>
      <c r="D113" s="48"/>
      <c r="E113" s="48"/>
      <c r="F113" s="49"/>
      <c r="G113" s="73"/>
      <c r="I113" s="52">
        <f>CONVERT!B112</f>
        <v>0</v>
      </c>
      <c r="J113" s="52">
        <f>CONVERT!AM112</f>
        <v>0</v>
      </c>
      <c r="K113" s="71">
        <f>CONVERT!AL112</f>
        <v>0</v>
      </c>
    </row>
    <row r="114" spans="1:11" x14ac:dyDescent="0.3">
      <c r="A114" s="48"/>
      <c r="B114" s="48"/>
      <c r="C114" s="48"/>
      <c r="D114" s="48"/>
      <c r="E114" s="48"/>
      <c r="F114" s="49"/>
      <c r="G114" s="73"/>
      <c r="I114" s="52">
        <f>CONVERT!B113</f>
        <v>0</v>
      </c>
      <c r="J114" s="52">
        <f>CONVERT!AM113</f>
        <v>0</v>
      </c>
      <c r="K114" s="71">
        <f>CONVERT!AL113</f>
        <v>0</v>
      </c>
    </row>
    <row r="115" spans="1:11" x14ac:dyDescent="0.3">
      <c r="A115" s="48"/>
      <c r="B115" s="48"/>
      <c r="C115" s="48"/>
      <c r="D115" s="48"/>
      <c r="E115" s="48"/>
      <c r="F115" s="49"/>
      <c r="G115" s="73"/>
      <c r="I115" s="52">
        <f>CONVERT!B114</f>
        <v>0</v>
      </c>
      <c r="J115" s="52">
        <f>CONVERT!AM114</f>
        <v>0</v>
      </c>
      <c r="K115" s="71">
        <f>CONVERT!AL114</f>
        <v>0</v>
      </c>
    </row>
    <row r="116" spans="1:11" x14ac:dyDescent="0.3">
      <c r="A116" s="48"/>
      <c r="B116" s="48"/>
      <c r="C116" s="48"/>
      <c r="D116" s="48"/>
      <c r="E116" s="48"/>
      <c r="F116" s="49"/>
      <c r="G116" s="73"/>
      <c r="I116" s="52">
        <f>CONVERT!B115</f>
        <v>0</v>
      </c>
      <c r="J116" s="52">
        <f>CONVERT!AM115</f>
        <v>0</v>
      </c>
      <c r="K116" s="71">
        <f>CONVERT!AL115</f>
        <v>0</v>
      </c>
    </row>
    <row r="117" spans="1:11" x14ac:dyDescent="0.3">
      <c r="A117" s="48"/>
      <c r="B117" s="48"/>
      <c r="C117" s="48"/>
      <c r="D117" s="48"/>
      <c r="E117" s="48"/>
      <c r="F117" s="49"/>
      <c r="G117" s="73"/>
      <c r="I117" s="52">
        <f>CONVERT!B116</f>
        <v>0</v>
      </c>
      <c r="J117" s="52">
        <f>CONVERT!AM116</f>
        <v>0</v>
      </c>
      <c r="K117" s="71">
        <f>CONVERT!AL116</f>
        <v>0</v>
      </c>
    </row>
    <row r="118" spans="1:11" x14ac:dyDescent="0.3">
      <c r="A118" s="48"/>
      <c r="B118" s="48"/>
      <c r="C118" s="48"/>
      <c r="D118" s="48"/>
      <c r="E118" s="48"/>
      <c r="F118" s="49"/>
      <c r="G118" s="73"/>
      <c r="I118" s="52">
        <f>CONVERT!B117</f>
        <v>0</v>
      </c>
      <c r="J118" s="52">
        <f>CONVERT!AM117</f>
        <v>0</v>
      </c>
      <c r="K118" s="71">
        <f>CONVERT!AL117</f>
        <v>0</v>
      </c>
    </row>
    <row r="119" spans="1:11" x14ac:dyDescent="0.3">
      <c r="A119" s="48"/>
      <c r="B119" s="48"/>
      <c r="C119" s="48"/>
      <c r="D119" s="48"/>
      <c r="E119" s="48"/>
      <c r="F119" s="49"/>
      <c r="G119" s="73"/>
      <c r="I119" s="52">
        <f>CONVERT!B118</f>
        <v>0</v>
      </c>
      <c r="J119" s="52">
        <f>CONVERT!AM118</f>
        <v>0</v>
      </c>
      <c r="K119" s="71">
        <f>CONVERT!AL118</f>
        <v>0</v>
      </c>
    </row>
    <row r="120" spans="1:11" x14ac:dyDescent="0.3">
      <c r="A120" s="48"/>
      <c r="B120" s="48"/>
      <c r="C120" s="48"/>
      <c r="D120" s="48"/>
      <c r="E120" s="48"/>
      <c r="F120" s="49"/>
      <c r="G120" s="73"/>
      <c r="I120" s="52">
        <f>CONVERT!B119</f>
        <v>0</v>
      </c>
      <c r="J120" s="52">
        <f>CONVERT!AM119</f>
        <v>0</v>
      </c>
      <c r="K120" s="71">
        <f>CONVERT!AL119</f>
        <v>0</v>
      </c>
    </row>
    <row r="121" spans="1:11" x14ac:dyDescent="0.3">
      <c r="A121" s="48"/>
      <c r="B121" s="48"/>
      <c r="C121" s="48"/>
      <c r="D121" s="48"/>
      <c r="E121" s="48"/>
      <c r="F121" s="49"/>
      <c r="G121" s="73"/>
      <c r="I121" s="52">
        <f>CONVERT!B120</f>
        <v>0</v>
      </c>
      <c r="J121" s="52">
        <f>CONVERT!AM120</f>
        <v>0</v>
      </c>
      <c r="K121" s="71">
        <f>CONVERT!AL120</f>
        <v>0</v>
      </c>
    </row>
    <row r="122" spans="1:11" x14ac:dyDescent="0.3">
      <c r="A122" s="48"/>
      <c r="B122" s="48"/>
      <c r="C122" s="48"/>
      <c r="D122" s="48"/>
      <c r="E122" s="48"/>
      <c r="F122" s="49"/>
      <c r="G122" s="73"/>
      <c r="I122" s="52">
        <f>CONVERT!B121</f>
        <v>0</v>
      </c>
      <c r="J122" s="52">
        <f>CONVERT!AM121</f>
        <v>0</v>
      </c>
      <c r="K122" s="71">
        <f>CONVERT!AL121</f>
        <v>0</v>
      </c>
    </row>
    <row r="123" spans="1:11" x14ac:dyDescent="0.3">
      <c r="A123" s="48"/>
      <c r="B123" s="48"/>
      <c r="C123" s="48"/>
      <c r="D123" s="48"/>
      <c r="E123" s="48"/>
      <c r="F123" s="49"/>
      <c r="G123" s="73"/>
      <c r="I123" s="52">
        <f>CONVERT!B122</f>
        <v>0</v>
      </c>
      <c r="J123" s="52">
        <f>CONVERT!AM122</f>
        <v>0</v>
      </c>
      <c r="K123" s="71">
        <f>CONVERT!AL122</f>
        <v>0</v>
      </c>
    </row>
    <row r="124" spans="1:11" x14ac:dyDescent="0.3">
      <c r="A124" s="48"/>
      <c r="B124" s="48"/>
      <c r="C124" s="48"/>
      <c r="D124" s="48"/>
      <c r="E124" s="48"/>
      <c r="F124" s="49"/>
      <c r="G124" s="73"/>
      <c r="I124" s="52">
        <f>CONVERT!B123</f>
        <v>0</v>
      </c>
      <c r="J124" s="52">
        <f>CONVERT!AM123</f>
        <v>0</v>
      </c>
      <c r="K124" s="71">
        <f>CONVERT!AL123</f>
        <v>0</v>
      </c>
    </row>
    <row r="125" spans="1:11" x14ac:dyDescent="0.3">
      <c r="A125" s="48"/>
      <c r="B125" s="48"/>
      <c r="C125" s="48"/>
      <c r="D125" s="48"/>
      <c r="E125" s="48"/>
      <c r="F125" s="49"/>
      <c r="G125" s="73"/>
      <c r="I125" s="52">
        <f>CONVERT!B124</f>
        <v>0</v>
      </c>
      <c r="J125" s="52">
        <f>CONVERT!AM124</f>
        <v>0</v>
      </c>
      <c r="K125" s="71">
        <f>CONVERT!AL124</f>
        <v>0</v>
      </c>
    </row>
    <row r="126" spans="1:11" x14ac:dyDescent="0.3">
      <c r="A126" s="48"/>
      <c r="B126" s="48"/>
      <c r="C126" s="48"/>
      <c r="D126" s="48"/>
      <c r="E126" s="48"/>
      <c r="F126" s="49"/>
      <c r="G126" s="73"/>
      <c r="I126" s="52">
        <f>CONVERT!B125</f>
        <v>0</v>
      </c>
      <c r="J126" s="52">
        <f>CONVERT!AM125</f>
        <v>0</v>
      </c>
      <c r="K126" s="71">
        <f>CONVERT!AL125</f>
        <v>0</v>
      </c>
    </row>
    <row r="127" spans="1:11" x14ac:dyDescent="0.3">
      <c r="A127" s="48"/>
      <c r="B127" s="48"/>
      <c r="C127" s="48"/>
      <c r="D127" s="48"/>
      <c r="E127" s="48"/>
      <c r="F127" s="49"/>
      <c r="G127" s="73"/>
      <c r="I127" s="52">
        <f>CONVERT!B126</f>
        <v>0</v>
      </c>
      <c r="J127" s="52">
        <f>CONVERT!AM126</f>
        <v>0</v>
      </c>
      <c r="K127" s="71">
        <f>CONVERT!AL126</f>
        <v>0</v>
      </c>
    </row>
    <row r="128" spans="1:11" x14ac:dyDescent="0.3">
      <c r="A128" s="48"/>
      <c r="B128" s="48"/>
      <c r="C128" s="48"/>
      <c r="D128" s="48"/>
      <c r="E128" s="48"/>
      <c r="F128" s="49"/>
      <c r="G128" s="73"/>
      <c r="I128" s="52">
        <f>CONVERT!B127</f>
        <v>0</v>
      </c>
      <c r="J128" s="52">
        <f>CONVERT!AM127</f>
        <v>0</v>
      </c>
      <c r="K128" s="71">
        <f>CONVERT!AL127</f>
        <v>0</v>
      </c>
    </row>
    <row r="129" spans="1:11" x14ac:dyDescent="0.3">
      <c r="A129" s="48"/>
      <c r="B129" s="48"/>
      <c r="C129" s="48"/>
      <c r="D129" s="48"/>
      <c r="E129" s="48"/>
      <c r="F129" s="49"/>
      <c r="G129" s="73"/>
      <c r="I129" s="52">
        <f>CONVERT!B128</f>
        <v>0</v>
      </c>
      <c r="J129" s="52">
        <f>CONVERT!AM128</f>
        <v>0</v>
      </c>
      <c r="K129" s="71">
        <f>CONVERT!AL128</f>
        <v>0</v>
      </c>
    </row>
    <row r="130" spans="1:11" x14ac:dyDescent="0.3">
      <c r="A130" s="48"/>
      <c r="B130" s="48"/>
      <c r="C130" s="48"/>
      <c r="D130" s="48"/>
      <c r="E130" s="48"/>
      <c r="F130" s="49"/>
      <c r="G130" s="73"/>
      <c r="I130" s="52">
        <f>CONVERT!B129</f>
        <v>0</v>
      </c>
      <c r="J130" s="52">
        <f>CONVERT!AM129</f>
        <v>0</v>
      </c>
      <c r="K130" s="71">
        <f>CONVERT!AL129</f>
        <v>0</v>
      </c>
    </row>
    <row r="131" spans="1:11" x14ac:dyDescent="0.3">
      <c r="A131" s="48"/>
      <c r="B131" s="48"/>
      <c r="C131" s="48"/>
      <c r="D131" s="48"/>
      <c r="E131" s="48"/>
      <c r="F131" s="49"/>
      <c r="G131" s="73"/>
      <c r="I131" s="52">
        <f>CONVERT!B130</f>
        <v>0</v>
      </c>
      <c r="J131" s="52">
        <f>CONVERT!AM130</f>
        <v>0</v>
      </c>
      <c r="K131" s="71">
        <f>CONVERT!AL130</f>
        <v>0</v>
      </c>
    </row>
    <row r="132" spans="1:11" x14ac:dyDescent="0.3">
      <c r="A132" s="48"/>
      <c r="B132" s="48"/>
      <c r="C132" s="48"/>
      <c r="D132" s="48"/>
      <c r="E132" s="48"/>
      <c r="F132" s="49"/>
      <c r="G132" s="73"/>
      <c r="I132" s="52">
        <f>CONVERT!B131</f>
        <v>0</v>
      </c>
      <c r="J132" s="52">
        <f>CONVERT!AM131</f>
        <v>0</v>
      </c>
      <c r="K132" s="71">
        <f>CONVERT!AL131</f>
        <v>0</v>
      </c>
    </row>
    <row r="133" spans="1:11" x14ac:dyDescent="0.3">
      <c r="A133" s="48"/>
      <c r="B133" s="48"/>
      <c r="C133" s="48"/>
      <c r="D133" s="48"/>
      <c r="E133" s="48"/>
      <c r="F133" s="49"/>
      <c r="G133" s="73"/>
      <c r="I133" s="52">
        <f>CONVERT!B132</f>
        <v>0</v>
      </c>
      <c r="J133" s="52">
        <f>CONVERT!AM132</f>
        <v>0</v>
      </c>
      <c r="K133" s="71">
        <f>CONVERT!AL132</f>
        <v>0</v>
      </c>
    </row>
    <row r="134" spans="1:11" x14ac:dyDescent="0.3">
      <c r="A134" s="48"/>
      <c r="B134" s="48"/>
      <c r="C134" s="48"/>
      <c r="D134" s="48"/>
      <c r="E134" s="48"/>
      <c r="F134" s="49"/>
      <c r="G134" s="73"/>
      <c r="I134" s="52">
        <f>CONVERT!B133</f>
        <v>0</v>
      </c>
      <c r="J134" s="52">
        <f>CONVERT!AM133</f>
        <v>0</v>
      </c>
      <c r="K134" s="71">
        <f>CONVERT!AL133</f>
        <v>0</v>
      </c>
    </row>
    <row r="135" spans="1:11" x14ac:dyDescent="0.3">
      <c r="A135" s="48"/>
      <c r="B135" s="48"/>
      <c r="C135" s="48"/>
      <c r="D135" s="48"/>
      <c r="E135" s="48"/>
      <c r="F135" s="49"/>
      <c r="G135" s="73"/>
      <c r="I135" s="52">
        <f>CONVERT!B134</f>
        <v>0</v>
      </c>
      <c r="J135" s="52">
        <f>CONVERT!AM134</f>
        <v>0</v>
      </c>
      <c r="K135" s="71">
        <f>CONVERT!AL134</f>
        <v>0</v>
      </c>
    </row>
    <row r="136" spans="1:11" x14ac:dyDescent="0.3">
      <c r="A136" s="48"/>
      <c r="B136" s="48"/>
      <c r="C136" s="48"/>
      <c r="D136" s="48"/>
      <c r="E136" s="48"/>
      <c r="F136" s="49"/>
      <c r="G136" s="73"/>
      <c r="I136" s="52">
        <f>CONVERT!B135</f>
        <v>0</v>
      </c>
      <c r="J136" s="52">
        <f>CONVERT!AM135</f>
        <v>0</v>
      </c>
      <c r="K136" s="71">
        <f>CONVERT!AL135</f>
        <v>0</v>
      </c>
    </row>
    <row r="137" spans="1:11" x14ac:dyDescent="0.3">
      <c r="A137" s="48"/>
      <c r="B137" s="48"/>
      <c r="C137" s="48"/>
      <c r="D137" s="48"/>
      <c r="E137" s="48"/>
      <c r="F137" s="49"/>
      <c r="G137" s="73"/>
      <c r="I137" s="52">
        <f>CONVERT!B136</f>
        <v>0</v>
      </c>
      <c r="J137" s="52">
        <f>CONVERT!AM136</f>
        <v>0</v>
      </c>
      <c r="K137" s="71">
        <f>CONVERT!AL136</f>
        <v>0</v>
      </c>
    </row>
    <row r="138" spans="1:11" x14ac:dyDescent="0.3">
      <c r="A138" s="48"/>
      <c r="B138" s="48"/>
      <c r="C138" s="48"/>
      <c r="D138" s="48"/>
      <c r="E138" s="48"/>
      <c r="F138" s="49"/>
      <c r="G138" s="73"/>
      <c r="I138" s="52">
        <f>CONVERT!B137</f>
        <v>0</v>
      </c>
      <c r="J138" s="52">
        <f>CONVERT!AM137</f>
        <v>0</v>
      </c>
      <c r="K138" s="71">
        <f>CONVERT!AL137</f>
        <v>0</v>
      </c>
    </row>
    <row r="139" spans="1:11" x14ac:dyDescent="0.3">
      <c r="A139" s="48"/>
      <c r="B139" s="48"/>
      <c r="C139" s="48"/>
      <c r="D139" s="48"/>
      <c r="E139" s="48"/>
      <c r="F139" s="49"/>
      <c r="G139" s="73"/>
      <c r="I139" s="52">
        <f>CONVERT!B138</f>
        <v>0</v>
      </c>
      <c r="J139" s="52">
        <f>CONVERT!AM138</f>
        <v>0</v>
      </c>
      <c r="K139" s="71">
        <f>CONVERT!AL138</f>
        <v>0</v>
      </c>
    </row>
    <row r="140" spans="1:11" x14ac:dyDescent="0.3">
      <c r="A140" s="48"/>
      <c r="B140" s="48"/>
      <c r="C140" s="48"/>
      <c r="D140" s="48"/>
      <c r="E140" s="48"/>
      <c r="F140" s="49"/>
      <c r="G140" s="73"/>
      <c r="I140" s="52">
        <f>CONVERT!B139</f>
        <v>0</v>
      </c>
      <c r="J140" s="52">
        <f>CONVERT!AM139</f>
        <v>0</v>
      </c>
      <c r="K140" s="71">
        <f>CONVERT!AL139</f>
        <v>0</v>
      </c>
    </row>
    <row r="141" spans="1:11" x14ac:dyDescent="0.3">
      <c r="A141" s="48"/>
      <c r="B141" s="48"/>
      <c r="C141" s="48"/>
      <c r="D141" s="48"/>
      <c r="E141" s="48"/>
      <c r="F141" s="49"/>
      <c r="G141" s="73"/>
      <c r="I141" s="52">
        <f>CONVERT!B140</f>
        <v>0</v>
      </c>
      <c r="J141" s="52">
        <f>CONVERT!AM140</f>
        <v>0</v>
      </c>
      <c r="K141" s="71">
        <f>CONVERT!AL140</f>
        <v>0</v>
      </c>
    </row>
    <row r="142" spans="1:11" x14ac:dyDescent="0.3">
      <c r="A142" s="48"/>
      <c r="B142" s="48"/>
      <c r="C142" s="48"/>
      <c r="D142" s="48"/>
      <c r="E142" s="48"/>
      <c r="F142" s="49"/>
      <c r="G142" s="73"/>
      <c r="I142" s="52">
        <f>CONVERT!B141</f>
        <v>0</v>
      </c>
      <c r="J142" s="52">
        <f>CONVERT!AM141</f>
        <v>0</v>
      </c>
      <c r="K142" s="71">
        <f>CONVERT!AL141</f>
        <v>0</v>
      </c>
    </row>
    <row r="143" spans="1:11" x14ac:dyDescent="0.3">
      <c r="A143" s="48"/>
      <c r="B143" s="48"/>
      <c r="C143" s="48"/>
      <c r="D143" s="48"/>
      <c r="E143" s="48"/>
      <c r="F143" s="49"/>
      <c r="G143" s="73"/>
      <c r="I143" s="52">
        <f>CONVERT!B142</f>
        <v>0</v>
      </c>
      <c r="J143" s="52">
        <f>CONVERT!AM142</f>
        <v>0</v>
      </c>
      <c r="K143" s="71">
        <f>CONVERT!AL142</f>
        <v>0</v>
      </c>
    </row>
    <row r="144" spans="1:11" x14ac:dyDescent="0.3">
      <c r="A144" s="48"/>
      <c r="B144" s="48"/>
      <c r="C144" s="48"/>
      <c r="D144" s="48"/>
      <c r="E144" s="48"/>
      <c r="F144" s="49"/>
      <c r="G144" s="73"/>
      <c r="I144" s="52">
        <f>CONVERT!B143</f>
        <v>0</v>
      </c>
      <c r="J144" s="52">
        <f>CONVERT!AM143</f>
        <v>0</v>
      </c>
      <c r="K144" s="71">
        <f>CONVERT!AL143</f>
        <v>0</v>
      </c>
    </row>
    <row r="145" spans="1:11" x14ac:dyDescent="0.3">
      <c r="A145" s="48"/>
      <c r="B145" s="48"/>
      <c r="C145" s="48"/>
      <c r="D145" s="48"/>
      <c r="E145" s="48"/>
      <c r="F145" s="49"/>
      <c r="G145" s="73"/>
      <c r="I145" s="52">
        <f>CONVERT!B144</f>
        <v>0</v>
      </c>
      <c r="J145" s="52">
        <f>CONVERT!AM144</f>
        <v>0</v>
      </c>
      <c r="K145" s="71">
        <f>CONVERT!AL144</f>
        <v>0</v>
      </c>
    </row>
    <row r="146" spans="1:11" x14ac:dyDescent="0.3">
      <c r="A146" s="48"/>
      <c r="B146" s="48"/>
      <c r="C146" s="48"/>
      <c r="D146" s="48"/>
      <c r="E146" s="48"/>
      <c r="F146" s="49"/>
      <c r="G146" s="73"/>
      <c r="I146" s="52">
        <f>CONVERT!B145</f>
        <v>0</v>
      </c>
      <c r="J146" s="52">
        <f>CONVERT!AM145</f>
        <v>0</v>
      </c>
      <c r="K146" s="71">
        <f>CONVERT!AL145</f>
        <v>0</v>
      </c>
    </row>
    <row r="147" spans="1:11" x14ac:dyDescent="0.3">
      <c r="A147" s="48"/>
      <c r="B147" s="48"/>
      <c r="C147" s="48"/>
      <c r="D147" s="48"/>
      <c r="E147" s="48"/>
      <c r="F147" s="49"/>
      <c r="G147" s="73"/>
      <c r="I147" s="52">
        <f>CONVERT!B146</f>
        <v>0</v>
      </c>
      <c r="J147" s="52">
        <f>CONVERT!AM146</f>
        <v>0</v>
      </c>
      <c r="K147" s="71">
        <f>CONVERT!AL146</f>
        <v>0</v>
      </c>
    </row>
    <row r="148" spans="1:11" x14ac:dyDescent="0.3">
      <c r="A148" s="48"/>
      <c r="B148" s="48"/>
      <c r="C148" s="48"/>
      <c r="D148" s="48"/>
      <c r="E148" s="48"/>
      <c r="F148" s="49"/>
      <c r="G148" s="73"/>
      <c r="I148" s="52">
        <f>CONVERT!B147</f>
        <v>0</v>
      </c>
      <c r="J148" s="52">
        <f>CONVERT!AM147</f>
        <v>0</v>
      </c>
      <c r="K148" s="71">
        <f>CONVERT!AL147</f>
        <v>0</v>
      </c>
    </row>
    <row r="149" spans="1:11" x14ac:dyDescent="0.3">
      <c r="A149" s="48"/>
      <c r="B149" s="48"/>
      <c r="C149" s="48"/>
      <c r="D149" s="48"/>
      <c r="E149" s="48"/>
      <c r="F149" s="49"/>
      <c r="G149" s="73"/>
      <c r="I149" s="52">
        <f>CONVERT!B148</f>
        <v>0</v>
      </c>
      <c r="J149" s="52">
        <f>CONVERT!AM148</f>
        <v>0</v>
      </c>
      <c r="K149" s="71">
        <f>CONVERT!AL148</f>
        <v>0</v>
      </c>
    </row>
    <row r="150" spans="1:11" x14ac:dyDescent="0.3">
      <c r="A150" s="48"/>
      <c r="B150" s="48"/>
      <c r="C150" s="48"/>
      <c r="D150" s="48"/>
      <c r="E150" s="48"/>
      <c r="F150" s="49"/>
      <c r="G150" s="73"/>
      <c r="I150" s="52">
        <f>CONVERT!B149</f>
        <v>0</v>
      </c>
      <c r="J150" s="52">
        <f>CONVERT!AM149</f>
        <v>0</v>
      </c>
      <c r="K150" s="71">
        <f>CONVERT!AL149</f>
        <v>0</v>
      </c>
    </row>
    <row r="151" spans="1:11" x14ac:dyDescent="0.3">
      <c r="A151" s="48"/>
      <c r="B151" s="48"/>
      <c r="C151" s="48"/>
      <c r="D151" s="48"/>
      <c r="E151" s="48"/>
      <c r="F151" s="49"/>
      <c r="G151" s="73"/>
      <c r="I151" s="52">
        <f>CONVERT!B150</f>
        <v>0</v>
      </c>
      <c r="J151" s="52">
        <f>CONVERT!AM150</f>
        <v>0</v>
      </c>
      <c r="K151" s="71">
        <f>CONVERT!AL150</f>
        <v>0</v>
      </c>
    </row>
    <row r="152" spans="1:11" x14ac:dyDescent="0.3">
      <c r="A152" s="48"/>
      <c r="B152" s="48"/>
      <c r="C152" s="48"/>
      <c r="D152" s="48"/>
      <c r="E152" s="48"/>
      <c r="F152" s="49"/>
      <c r="G152" s="73"/>
      <c r="I152" s="52">
        <f>CONVERT!B151</f>
        <v>0</v>
      </c>
      <c r="J152" s="52">
        <f>CONVERT!AM151</f>
        <v>0</v>
      </c>
      <c r="K152" s="71">
        <f>CONVERT!AL151</f>
        <v>0</v>
      </c>
    </row>
    <row r="153" spans="1:11" x14ac:dyDescent="0.3">
      <c r="A153" s="48"/>
      <c r="B153" s="48"/>
      <c r="C153" s="48"/>
      <c r="D153" s="48"/>
      <c r="E153" s="48"/>
      <c r="F153" s="49"/>
      <c r="G153" s="73"/>
      <c r="I153" s="52">
        <f>CONVERT!B152</f>
        <v>0</v>
      </c>
      <c r="J153" s="52">
        <f>CONVERT!AM152</f>
        <v>0</v>
      </c>
      <c r="K153" s="71">
        <f>CONVERT!AL152</f>
        <v>0</v>
      </c>
    </row>
    <row r="154" spans="1:11" x14ac:dyDescent="0.3">
      <c r="A154" s="48"/>
      <c r="B154" s="48"/>
      <c r="C154" s="48"/>
      <c r="D154" s="48"/>
      <c r="E154" s="48"/>
      <c r="F154" s="49"/>
      <c r="G154" s="73"/>
      <c r="I154" s="52">
        <f>CONVERT!B153</f>
        <v>0</v>
      </c>
      <c r="J154" s="52">
        <f>CONVERT!AM153</f>
        <v>0</v>
      </c>
      <c r="K154" s="71">
        <f>CONVERT!AL153</f>
        <v>0</v>
      </c>
    </row>
    <row r="155" spans="1:11" x14ac:dyDescent="0.3">
      <c r="A155" s="63"/>
      <c r="B155" s="31"/>
      <c r="C155" s="11"/>
      <c r="D155" s="11"/>
      <c r="E155" s="59"/>
      <c r="F155" s="49"/>
      <c r="G155" s="73"/>
      <c r="I155" s="52">
        <f>CONVERT!B154</f>
        <v>0</v>
      </c>
      <c r="J155" s="52">
        <f>CONVERT!AM154</f>
        <v>0</v>
      </c>
      <c r="K155" s="71">
        <f>CONVERT!AL154</f>
        <v>0</v>
      </c>
    </row>
    <row r="156" spans="1:11" x14ac:dyDescent="0.3">
      <c r="A156" s="63"/>
      <c r="B156" s="31"/>
      <c r="C156" s="11"/>
      <c r="D156" s="11"/>
      <c r="E156" s="59"/>
      <c r="F156" s="49"/>
      <c r="G156" s="73"/>
      <c r="I156" s="52">
        <f>CONVERT!B155</f>
        <v>0</v>
      </c>
      <c r="J156" s="52">
        <f>CONVERT!AM155</f>
        <v>0</v>
      </c>
      <c r="K156" s="71">
        <f>CONVERT!AL155</f>
        <v>0</v>
      </c>
    </row>
    <row r="157" spans="1:11" x14ac:dyDescent="0.3">
      <c r="A157" s="63"/>
      <c r="B157" s="31"/>
      <c r="C157" s="11"/>
      <c r="D157" s="11"/>
      <c r="E157" s="59"/>
      <c r="F157" s="49"/>
      <c r="G157" s="73"/>
      <c r="I157" s="52">
        <f>CONVERT!B156</f>
        <v>0</v>
      </c>
      <c r="J157" s="52">
        <f>CONVERT!AM156</f>
        <v>0</v>
      </c>
      <c r="K157" s="71">
        <f>CONVERT!AL156</f>
        <v>0</v>
      </c>
    </row>
    <row r="158" spans="1:11" x14ac:dyDescent="0.3">
      <c r="A158" s="63"/>
      <c r="B158" s="31"/>
      <c r="C158" s="11"/>
      <c r="D158" s="11"/>
      <c r="E158" s="59"/>
      <c r="F158" s="49"/>
      <c r="G158" s="73"/>
      <c r="I158" s="52">
        <f>CONVERT!B157</f>
        <v>0</v>
      </c>
      <c r="J158" s="52">
        <f>CONVERT!AM157</f>
        <v>0</v>
      </c>
      <c r="K158" s="71">
        <f>CONVERT!AL157</f>
        <v>0</v>
      </c>
    </row>
    <row r="159" spans="1:11" x14ac:dyDescent="0.3">
      <c r="A159" s="63"/>
      <c r="B159" s="31"/>
      <c r="C159" s="11"/>
      <c r="D159" s="11"/>
      <c r="E159" s="59"/>
      <c r="F159" s="49"/>
      <c r="G159" s="73"/>
      <c r="I159" s="52">
        <f>CONVERT!B158</f>
        <v>0</v>
      </c>
      <c r="J159" s="52">
        <f>CONVERT!AM158</f>
        <v>0</v>
      </c>
      <c r="K159" s="71">
        <f>CONVERT!AL158</f>
        <v>0</v>
      </c>
    </row>
    <row r="160" spans="1:11" x14ac:dyDescent="0.3">
      <c r="A160" s="63"/>
      <c r="B160" s="31"/>
      <c r="C160" s="11"/>
      <c r="D160" s="11"/>
      <c r="E160" s="59"/>
      <c r="F160" s="49"/>
      <c r="G160" s="73"/>
      <c r="I160" s="52">
        <f>CONVERT!B159</f>
        <v>0</v>
      </c>
      <c r="J160" s="52">
        <f>CONVERT!AM159</f>
        <v>0</v>
      </c>
      <c r="K160" s="71">
        <f>CONVERT!AL159</f>
        <v>0</v>
      </c>
    </row>
    <row r="161" spans="1:11" x14ac:dyDescent="0.3">
      <c r="A161" s="63"/>
      <c r="B161" s="31"/>
      <c r="C161" s="11"/>
      <c r="D161" s="11"/>
      <c r="E161" s="59"/>
      <c r="F161" s="49"/>
      <c r="G161" s="73"/>
      <c r="I161" s="52">
        <f>CONVERT!B160</f>
        <v>0</v>
      </c>
      <c r="J161" s="52">
        <f>CONVERT!AM160</f>
        <v>0</v>
      </c>
      <c r="K161" s="71">
        <f>CONVERT!AL160</f>
        <v>0</v>
      </c>
    </row>
    <row r="162" spans="1:11" x14ac:dyDescent="0.3">
      <c r="A162" s="63"/>
      <c r="B162" s="31"/>
      <c r="C162" s="11"/>
      <c r="D162" s="11"/>
      <c r="E162" s="59"/>
      <c r="F162" s="49"/>
      <c r="G162" s="73"/>
      <c r="I162" s="52">
        <f>CONVERT!B161</f>
        <v>0</v>
      </c>
      <c r="J162" s="52">
        <f>CONVERT!AM161</f>
        <v>0</v>
      </c>
      <c r="K162" s="71">
        <f>CONVERT!AL161</f>
        <v>0</v>
      </c>
    </row>
    <row r="163" spans="1:11" x14ac:dyDescent="0.3">
      <c r="A163" s="63"/>
      <c r="B163" s="31"/>
      <c r="C163" s="11"/>
      <c r="D163" s="11"/>
      <c r="E163" s="59"/>
      <c r="F163" s="49"/>
      <c r="G163" s="73"/>
      <c r="I163" s="52">
        <f>CONVERT!B162</f>
        <v>0</v>
      </c>
      <c r="J163" s="52">
        <f>CONVERT!AM162</f>
        <v>0</v>
      </c>
      <c r="K163" s="71">
        <f>CONVERT!AL162</f>
        <v>0</v>
      </c>
    </row>
    <row r="164" spans="1:11" x14ac:dyDescent="0.3">
      <c r="A164" s="63"/>
      <c r="B164" s="31"/>
      <c r="C164" s="11"/>
      <c r="D164" s="11"/>
      <c r="E164" s="59"/>
      <c r="F164" s="49"/>
      <c r="G164" s="73"/>
      <c r="I164" s="52">
        <f>CONVERT!B163</f>
        <v>0</v>
      </c>
      <c r="J164" s="52">
        <f>CONVERT!AM163</f>
        <v>0</v>
      </c>
      <c r="K164" s="71">
        <f>CONVERT!AL163</f>
        <v>0</v>
      </c>
    </row>
    <row r="165" spans="1:11" x14ac:dyDescent="0.3">
      <c r="A165" s="63"/>
      <c r="B165" s="31"/>
      <c r="C165" s="11"/>
      <c r="D165" s="11"/>
      <c r="E165" s="59"/>
      <c r="F165" s="49"/>
      <c r="G165" s="73"/>
      <c r="I165" s="52">
        <f>CONVERT!B164</f>
        <v>0</v>
      </c>
      <c r="J165" s="52">
        <f>CONVERT!AM164</f>
        <v>0</v>
      </c>
      <c r="K165" s="71">
        <f>CONVERT!AL164</f>
        <v>0</v>
      </c>
    </row>
    <row r="166" spans="1:11" x14ac:dyDescent="0.3">
      <c r="A166" s="63"/>
      <c r="B166" s="31"/>
      <c r="C166" s="11"/>
      <c r="D166" s="11"/>
      <c r="E166" s="59"/>
      <c r="F166" s="49"/>
      <c r="G166" s="73"/>
      <c r="I166" s="52">
        <f>CONVERT!B165</f>
        <v>0</v>
      </c>
      <c r="J166" s="52">
        <f>CONVERT!AM165</f>
        <v>0</v>
      </c>
      <c r="K166" s="71">
        <f>CONVERT!AL165</f>
        <v>0</v>
      </c>
    </row>
    <row r="167" spans="1:11" x14ac:dyDescent="0.3">
      <c r="F167" s="49"/>
      <c r="G167" s="73"/>
      <c r="I167" s="52">
        <f>CONVERT!B166</f>
        <v>0</v>
      </c>
      <c r="J167" s="52">
        <f>CONVERT!AM166</f>
        <v>0</v>
      </c>
      <c r="K167" s="71">
        <f>CONVERT!AL166</f>
        <v>0</v>
      </c>
    </row>
    <row r="168" spans="1:11" x14ac:dyDescent="0.3">
      <c r="F168" s="49"/>
      <c r="G168" s="73"/>
      <c r="I168" s="52">
        <f>CONVERT!B167</f>
        <v>0</v>
      </c>
      <c r="J168" s="52">
        <f>CONVERT!AM167</f>
        <v>0</v>
      </c>
      <c r="K168" s="71">
        <f>CONVERT!AL167</f>
        <v>0</v>
      </c>
    </row>
    <row r="169" spans="1:11" x14ac:dyDescent="0.3">
      <c r="G169" s="11"/>
      <c r="I169" s="52">
        <f>CONVERT!B168</f>
        <v>0</v>
      </c>
      <c r="J169" s="52">
        <f>CONVERT!AM168</f>
        <v>0</v>
      </c>
      <c r="K169" s="71">
        <f>CONVERT!AL168</f>
        <v>0</v>
      </c>
    </row>
    <row r="170" spans="1:11" x14ac:dyDescent="0.3">
      <c r="G170" s="11"/>
      <c r="I170" s="52">
        <f>CONVERT!B169</f>
        <v>0</v>
      </c>
      <c r="J170" s="20"/>
      <c r="K170" s="71">
        <f>CONVERT!AL169</f>
        <v>0</v>
      </c>
    </row>
    <row r="171" spans="1:11" x14ac:dyDescent="0.3">
      <c r="G171" s="11"/>
      <c r="I171" s="52">
        <f>CONVERT!B170</f>
        <v>0</v>
      </c>
      <c r="J171" s="20"/>
      <c r="K171" s="71">
        <f>CONVERT!AL170</f>
        <v>0</v>
      </c>
    </row>
    <row r="172" spans="1:11" x14ac:dyDescent="0.3">
      <c r="G172" s="11"/>
      <c r="I172" s="20"/>
      <c r="J172" s="20"/>
      <c r="K172" s="71">
        <f>CONVERT!AL171</f>
        <v>0</v>
      </c>
    </row>
    <row r="173" spans="1:11" x14ac:dyDescent="0.3">
      <c r="I173" s="20"/>
      <c r="J173" s="20"/>
      <c r="K173" s="71">
        <f>CONVERT!AL172</f>
        <v>0</v>
      </c>
    </row>
    <row r="174" spans="1:11" x14ac:dyDescent="0.3">
      <c r="I174" s="20"/>
      <c r="J174" s="20"/>
      <c r="K174" s="71">
        <f>CONVERT!AL173</f>
        <v>0</v>
      </c>
    </row>
    <row r="175" spans="1:11" x14ac:dyDescent="0.3">
      <c r="I175" s="20"/>
      <c r="J175" s="20"/>
      <c r="K175" s="71">
        <f>CONVERT!AL174</f>
        <v>0</v>
      </c>
    </row>
    <row r="176" spans="1:11" x14ac:dyDescent="0.3">
      <c r="I176" s="20"/>
      <c r="J176" s="20"/>
      <c r="K176" s="71">
        <f>CONVERT!AL175</f>
        <v>0</v>
      </c>
    </row>
    <row r="177" spans="9:11" x14ac:dyDescent="0.3">
      <c r="I177" s="20"/>
      <c r="J177" s="20"/>
      <c r="K177" s="71">
        <f>CONVERT!AL176</f>
        <v>0</v>
      </c>
    </row>
    <row r="178" spans="9:11" x14ac:dyDescent="0.3">
      <c r="I178" s="20"/>
      <c r="J178" s="20"/>
      <c r="K178" s="71">
        <f>CONVERT!AL177</f>
        <v>0</v>
      </c>
    </row>
    <row r="179" spans="9:11" x14ac:dyDescent="0.3">
      <c r="I179" s="20"/>
      <c r="J179" s="20"/>
      <c r="K179" s="71">
        <f>CONVERT!AL178</f>
        <v>0</v>
      </c>
    </row>
    <row r="180" spans="9:11" x14ac:dyDescent="0.3">
      <c r="I180" s="20"/>
      <c r="J180" s="20"/>
      <c r="K180" s="71">
        <f>CONVERT!AL179</f>
        <v>0</v>
      </c>
    </row>
    <row r="181" spans="9:11" x14ac:dyDescent="0.3">
      <c r="I181" s="20"/>
      <c r="J181" s="20"/>
      <c r="K181" s="71">
        <f>CONVERT!AL180</f>
        <v>0</v>
      </c>
    </row>
    <row r="182" spans="9:11" x14ac:dyDescent="0.3">
      <c r="I182" s="20"/>
      <c r="J182" s="20"/>
      <c r="K182" s="71">
        <f>CONVERT!AL181</f>
        <v>0</v>
      </c>
    </row>
    <row r="183" spans="9:11" x14ac:dyDescent="0.3">
      <c r="I183" s="20"/>
      <c r="J183" s="20"/>
      <c r="K183" s="71">
        <f>CONVERT!AL182</f>
        <v>0</v>
      </c>
    </row>
    <row r="184" spans="9:11" x14ac:dyDescent="0.3">
      <c r="I184" s="20"/>
      <c r="J184" s="20"/>
      <c r="K184" s="71">
        <f>CONVERT!AL183</f>
        <v>0</v>
      </c>
    </row>
    <row r="185" spans="9:11" x14ac:dyDescent="0.3">
      <c r="I185" s="20"/>
      <c r="J185" s="20"/>
      <c r="K185" s="71">
        <f>CONVERT!AL184</f>
        <v>0</v>
      </c>
    </row>
    <row r="186" spans="9:11" x14ac:dyDescent="0.3">
      <c r="I186" s="20"/>
      <c r="J186" s="20"/>
      <c r="K186" s="71">
        <f>CONVERT!AL185</f>
        <v>0</v>
      </c>
    </row>
    <row r="187" spans="9:11" x14ac:dyDescent="0.3">
      <c r="I187" s="20"/>
      <c r="J187" s="20"/>
      <c r="K187" s="71">
        <f>CONVERT!AL186</f>
        <v>0</v>
      </c>
    </row>
    <row r="188" spans="9:11" x14ac:dyDescent="0.3">
      <c r="I188" s="20"/>
      <c r="J188" s="20"/>
      <c r="K188" s="71">
        <f>CONVERT!AL187</f>
        <v>0</v>
      </c>
    </row>
    <row r="189" spans="9:11" x14ac:dyDescent="0.3">
      <c r="I189" s="20"/>
      <c r="J189" s="20"/>
      <c r="K189" s="71">
        <f>CONVERT!AL188</f>
        <v>0</v>
      </c>
    </row>
    <row r="190" spans="9:11" x14ac:dyDescent="0.3">
      <c r="I190" s="20"/>
      <c r="J190" s="20"/>
      <c r="K190" s="71">
        <f>CONVERT!AL189</f>
        <v>0</v>
      </c>
    </row>
    <row r="191" spans="9:11" x14ac:dyDescent="0.3">
      <c r="I191" s="20"/>
      <c r="J191" s="20"/>
      <c r="K191" s="71">
        <f>CONVERT!AL190</f>
        <v>0</v>
      </c>
    </row>
    <row r="192" spans="9:11" x14ac:dyDescent="0.3">
      <c r="I192" s="20"/>
      <c r="J192" s="20"/>
      <c r="K192" s="71">
        <f>CONVERT!AL191</f>
        <v>0</v>
      </c>
    </row>
    <row r="193" spans="9:11" x14ac:dyDescent="0.3">
      <c r="I193" s="20"/>
      <c r="J193" s="20"/>
      <c r="K193" s="71">
        <f>CONVERT!AL192</f>
        <v>0</v>
      </c>
    </row>
    <row r="194" spans="9:11" x14ac:dyDescent="0.3">
      <c r="I194" s="20"/>
      <c r="J194" s="20"/>
      <c r="K194" s="71">
        <f>CONVERT!AL193</f>
        <v>0</v>
      </c>
    </row>
    <row r="195" spans="9:11" x14ac:dyDescent="0.3">
      <c r="I195" s="20"/>
      <c r="J195" s="20"/>
      <c r="K195" s="71">
        <f>CONVERT!AL194</f>
        <v>0</v>
      </c>
    </row>
    <row r="196" spans="9:11" x14ac:dyDescent="0.3">
      <c r="I196" s="20"/>
      <c r="J196" s="20"/>
      <c r="K196" s="71">
        <f>CONVERT!AL195</f>
        <v>0</v>
      </c>
    </row>
    <row r="197" spans="9:11" x14ac:dyDescent="0.3">
      <c r="I197" s="20"/>
      <c r="J197" s="20"/>
      <c r="K197" s="71">
        <f>CONVERT!AL196</f>
        <v>0</v>
      </c>
    </row>
    <row r="198" spans="9:11" x14ac:dyDescent="0.3">
      <c r="I198" s="20"/>
      <c r="J198" s="20"/>
      <c r="K198" s="71">
        <f>CONVERT!AL197</f>
        <v>0</v>
      </c>
    </row>
    <row r="199" spans="9:11" x14ac:dyDescent="0.3">
      <c r="I199" s="20"/>
      <c r="J199" s="20"/>
      <c r="K199" s="71">
        <f>CONVERT!AL198</f>
        <v>0</v>
      </c>
    </row>
    <row r="200" spans="9:11" x14ac:dyDescent="0.3">
      <c r="I200" s="20"/>
      <c r="J200" s="20"/>
      <c r="K200" s="71">
        <f>CONVERT!AL199</f>
        <v>0</v>
      </c>
    </row>
    <row r="201" spans="9:11" x14ac:dyDescent="0.3">
      <c r="I201" s="20"/>
      <c r="J201" s="20"/>
      <c r="K201" s="71">
        <f>CONVERT!AL200</f>
        <v>0</v>
      </c>
    </row>
    <row r="202" spans="9:11" x14ac:dyDescent="0.3">
      <c r="I202" s="20"/>
      <c r="J202" s="20"/>
      <c r="K202" s="71">
        <f>CONVERT!AL201</f>
        <v>0</v>
      </c>
    </row>
    <row r="203" spans="9:11" x14ac:dyDescent="0.3">
      <c r="I203" s="20"/>
      <c r="J203" s="20"/>
      <c r="K203" s="71">
        <f>CONVERT!AL202</f>
        <v>0</v>
      </c>
    </row>
    <row r="204" spans="9:11" x14ac:dyDescent="0.3">
      <c r="I204" s="20"/>
      <c r="J204" s="20"/>
      <c r="K204" s="71">
        <f>CONVERT!AL203</f>
        <v>0</v>
      </c>
    </row>
    <row r="205" spans="9:11" x14ac:dyDescent="0.3">
      <c r="I205" s="20"/>
      <c r="J205" s="20"/>
      <c r="K205" s="71">
        <f>CONVERT!AL204</f>
        <v>0</v>
      </c>
    </row>
    <row r="206" spans="9:11" x14ac:dyDescent="0.3">
      <c r="I206" s="20"/>
      <c r="J206" s="20"/>
      <c r="K206" s="71">
        <f>CONVERT!AL205</f>
        <v>0</v>
      </c>
    </row>
    <row r="207" spans="9:11" x14ac:dyDescent="0.3">
      <c r="I207" s="20"/>
      <c r="J207" s="20"/>
      <c r="K207" s="71">
        <f>CONVERT!AL206</f>
        <v>0</v>
      </c>
    </row>
    <row r="208" spans="9:11" x14ac:dyDescent="0.3">
      <c r="I208" s="20"/>
      <c r="J208" s="20"/>
      <c r="K208" s="71">
        <f>CONVERT!AL207</f>
        <v>0</v>
      </c>
    </row>
    <row r="209" spans="9:11" x14ac:dyDescent="0.3">
      <c r="I209" s="20"/>
      <c r="J209" s="20"/>
      <c r="K209" s="71">
        <f>CONVERT!AL208</f>
        <v>0</v>
      </c>
    </row>
    <row r="210" spans="9:11" x14ac:dyDescent="0.3">
      <c r="I210" s="20"/>
      <c r="J210" s="20"/>
      <c r="K210" s="71">
        <f>CONVERT!AL209</f>
        <v>0</v>
      </c>
    </row>
    <row r="211" spans="9:11" x14ac:dyDescent="0.3">
      <c r="I211" s="20"/>
      <c r="J211" s="20"/>
      <c r="K211" s="71">
        <f>CONVERT!AL210</f>
        <v>0</v>
      </c>
    </row>
    <row r="212" spans="9:11" x14ac:dyDescent="0.3">
      <c r="I212" s="20"/>
      <c r="J212" s="20"/>
      <c r="K212" s="71">
        <f>CONVERT!AL211</f>
        <v>0</v>
      </c>
    </row>
    <row r="213" spans="9:11" x14ac:dyDescent="0.3">
      <c r="I213" s="20"/>
      <c r="J213" s="20"/>
      <c r="K213" s="71">
        <f>CONVERT!AL212</f>
        <v>0</v>
      </c>
    </row>
    <row r="214" spans="9:11" x14ac:dyDescent="0.3">
      <c r="I214" s="20"/>
      <c r="J214" s="20"/>
      <c r="K214" s="71">
        <f>CONVERT!AL213</f>
        <v>0</v>
      </c>
    </row>
    <row r="215" spans="9:11" x14ac:dyDescent="0.3">
      <c r="I215" s="20"/>
      <c r="J215" s="20"/>
      <c r="K215" s="71">
        <f>CONVERT!AL214</f>
        <v>0</v>
      </c>
    </row>
    <row r="216" spans="9:11" x14ac:dyDescent="0.3">
      <c r="I216" s="20"/>
      <c r="J216" s="20"/>
      <c r="K216" s="71">
        <f>CONVERT!AL215</f>
        <v>0</v>
      </c>
    </row>
    <row r="217" spans="9:11" x14ac:dyDescent="0.3">
      <c r="I217" s="20"/>
      <c r="J217" s="20"/>
      <c r="K217" s="71">
        <f>CONVERT!AL216</f>
        <v>0</v>
      </c>
    </row>
    <row r="218" spans="9:11" x14ac:dyDescent="0.3">
      <c r="I218" s="20"/>
      <c r="J218" s="20"/>
      <c r="K218" s="71">
        <f>CONVERT!AL217</f>
        <v>0</v>
      </c>
    </row>
    <row r="219" spans="9:11" x14ac:dyDescent="0.3">
      <c r="I219" s="20"/>
      <c r="J219" s="20"/>
      <c r="K219" s="71">
        <f>CONVERT!AL218</f>
        <v>0</v>
      </c>
    </row>
    <row r="220" spans="9:11" x14ac:dyDescent="0.3">
      <c r="I220" s="20"/>
      <c r="J220" s="20"/>
      <c r="K220" s="71">
        <f>CONVERT!AL219</f>
        <v>0</v>
      </c>
    </row>
    <row r="221" spans="9:11" x14ac:dyDescent="0.3">
      <c r="I221" s="20"/>
      <c r="J221" s="20"/>
      <c r="K221" s="71">
        <f>CONVERT!AL220</f>
        <v>0</v>
      </c>
    </row>
    <row r="222" spans="9:11" x14ac:dyDescent="0.3">
      <c r="I222" s="20"/>
      <c r="J222" s="20"/>
      <c r="K222" s="71">
        <f>CONVERT!AL221</f>
        <v>0</v>
      </c>
    </row>
    <row r="223" spans="9:11" x14ac:dyDescent="0.3">
      <c r="I223" s="20"/>
      <c r="J223" s="20"/>
      <c r="K223" s="71">
        <f>CONVERT!AL222</f>
        <v>0</v>
      </c>
    </row>
    <row r="224" spans="9:11" x14ac:dyDescent="0.3">
      <c r="I224" s="20"/>
      <c r="J224" s="20"/>
      <c r="K224" s="71">
        <f>CONVERT!AL223</f>
        <v>0</v>
      </c>
    </row>
    <row r="225" spans="9:11" x14ac:dyDescent="0.3">
      <c r="I225" s="20"/>
      <c r="J225" s="20"/>
      <c r="K225" s="71">
        <f>CONVERT!AL224</f>
        <v>0</v>
      </c>
    </row>
    <row r="226" spans="9:11" x14ac:dyDescent="0.3">
      <c r="I226" s="20"/>
      <c r="J226" s="20"/>
      <c r="K226" s="71">
        <f>CONVERT!AL225</f>
        <v>0</v>
      </c>
    </row>
    <row r="227" spans="9:11" x14ac:dyDescent="0.3">
      <c r="I227" s="20"/>
      <c r="J227" s="20"/>
      <c r="K227" s="71">
        <f>CONVERT!AL226</f>
        <v>0</v>
      </c>
    </row>
    <row r="228" spans="9:11" x14ac:dyDescent="0.3">
      <c r="I228" s="20"/>
      <c r="J228" s="20"/>
      <c r="K228" s="71">
        <f>CONVERT!AL227</f>
        <v>0</v>
      </c>
    </row>
    <row r="229" spans="9:11" x14ac:dyDescent="0.3">
      <c r="I229" s="20"/>
      <c r="J229" s="20"/>
      <c r="K229" s="71">
        <f>CONVERT!AL228</f>
        <v>0</v>
      </c>
    </row>
    <row r="230" spans="9:11" x14ac:dyDescent="0.3">
      <c r="I230" s="20"/>
      <c r="J230" s="20"/>
      <c r="K230" s="71">
        <f>CONVERT!AL229</f>
        <v>0</v>
      </c>
    </row>
    <row r="231" spans="9:11" x14ac:dyDescent="0.3">
      <c r="I231" s="20"/>
      <c r="J231" s="20"/>
      <c r="K231" s="71">
        <f>CONVERT!AL230</f>
        <v>0</v>
      </c>
    </row>
    <row r="232" spans="9:11" x14ac:dyDescent="0.3">
      <c r="I232" s="20"/>
      <c r="J232" s="20"/>
      <c r="K232" s="71">
        <f>CONVERT!AL231</f>
        <v>0</v>
      </c>
    </row>
    <row r="233" spans="9:11" x14ac:dyDescent="0.3">
      <c r="I233" s="20"/>
      <c r="J233" s="20"/>
      <c r="K233" s="71">
        <f>CONVERT!AL232</f>
        <v>0</v>
      </c>
    </row>
    <row r="234" spans="9:11" x14ac:dyDescent="0.3">
      <c r="I234" s="20"/>
      <c r="J234" s="20"/>
      <c r="K234" s="71">
        <f>CONVERT!AL233</f>
        <v>0</v>
      </c>
    </row>
    <row r="235" spans="9:11" x14ac:dyDescent="0.3">
      <c r="I235" s="20"/>
      <c r="J235" s="20"/>
      <c r="K235" s="71">
        <f>CONVERT!AL234</f>
        <v>0</v>
      </c>
    </row>
    <row r="236" spans="9:11" x14ac:dyDescent="0.3">
      <c r="I236" s="20"/>
      <c r="J236" s="20"/>
      <c r="K236" s="71">
        <f>CONVERT!AL235</f>
        <v>0</v>
      </c>
    </row>
    <row r="237" spans="9:11" x14ac:dyDescent="0.3">
      <c r="I237" s="20"/>
      <c r="J237" s="20"/>
      <c r="K237" s="71">
        <f>CONVERT!AL236</f>
        <v>0</v>
      </c>
    </row>
    <row r="238" spans="9:11" x14ac:dyDescent="0.3">
      <c r="I238" s="20"/>
      <c r="J238" s="20"/>
      <c r="K238" s="71">
        <f>CONVERT!AL237</f>
        <v>0</v>
      </c>
    </row>
    <row r="239" spans="9:11" x14ac:dyDescent="0.3">
      <c r="I239" s="20"/>
      <c r="J239" s="20"/>
      <c r="K239" s="71">
        <f>CONVERT!AL238</f>
        <v>0</v>
      </c>
    </row>
    <row r="240" spans="9:11" x14ac:dyDescent="0.3">
      <c r="I240" s="20"/>
      <c r="J240" s="20"/>
      <c r="K240" s="71">
        <f>CONVERT!AL239</f>
        <v>0</v>
      </c>
    </row>
    <row r="241" spans="9:11" x14ac:dyDescent="0.3">
      <c r="I241" s="20"/>
      <c r="J241" s="20"/>
      <c r="K241" s="71">
        <f>CONVERT!AL240</f>
        <v>0</v>
      </c>
    </row>
    <row r="242" spans="9:11" x14ac:dyDescent="0.3">
      <c r="I242" s="20"/>
      <c r="J242" s="20"/>
      <c r="K242" s="71">
        <f>CONVERT!AL241</f>
        <v>0</v>
      </c>
    </row>
    <row r="243" spans="9:11" x14ac:dyDescent="0.3">
      <c r="I243" s="20"/>
      <c r="J243" s="20"/>
      <c r="K243" s="71">
        <f>CONVERT!AL242</f>
        <v>0</v>
      </c>
    </row>
    <row r="244" spans="9:11" x14ac:dyDescent="0.3">
      <c r="I244" s="20"/>
      <c r="J244" s="20"/>
      <c r="K244" s="71">
        <f>CONVERT!AL243</f>
        <v>0</v>
      </c>
    </row>
    <row r="245" spans="9:11" x14ac:dyDescent="0.3">
      <c r="I245" s="20"/>
      <c r="J245" s="20"/>
      <c r="K245" s="53"/>
    </row>
    <row r="246" spans="9:11" x14ac:dyDescent="0.3">
      <c r="I246" s="20"/>
      <c r="J246" s="20"/>
      <c r="K246" s="53"/>
    </row>
    <row r="247" spans="9:11" x14ac:dyDescent="0.3">
      <c r="I247" s="20"/>
      <c r="J247" s="20"/>
      <c r="K247" s="53"/>
    </row>
    <row r="248" spans="9:11" x14ac:dyDescent="0.3">
      <c r="I248" s="20"/>
      <c r="J248" s="20"/>
      <c r="K248" s="53"/>
    </row>
    <row r="249" spans="9:11" x14ac:dyDescent="0.3">
      <c r="I249" s="20"/>
      <c r="J249" s="20"/>
      <c r="K249" s="53"/>
    </row>
    <row r="250" spans="9:11" x14ac:dyDescent="0.3">
      <c r="I250" s="20"/>
      <c r="J250" s="20"/>
      <c r="K250" s="53"/>
    </row>
    <row r="251" spans="9:11" x14ac:dyDescent="0.3">
      <c r="I251" s="20"/>
      <c r="J251" s="20"/>
    </row>
    <row r="252" spans="9:11" x14ac:dyDescent="0.3">
      <c r="I252" s="20"/>
      <c r="J252" s="20"/>
    </row>
    <row r="253" spans="9:11" x14ac:dyDescent="0.3">
      <c r="I253" s="20"/>
      <c r="J253" s="20"/>
    </row>
    <row r="254" spans="9:11" x14ac:dyDescent="0.3">
      <c r="I254" s="20"/>
      <c r="J254" s="20"/>
    </row>
    <row r="255" spans="9:11" x14ac:dyDescent="0.3">
      <c r="I255" s="20"/>
      <c r="J255" s="20"/>
    </row>
    <row r="256" spans="9:11" x14ac:dyDescent="0.3">
      <c r="I256" s="20"/>
      <c r="J256" s="20"/>
    </row>
    <row r="257" spans="9:10" x14ac:dyDescent="0.3">
      <c r="I257" s="20"/>
      <c r="J257" s="20"/>
    </row>
    <row r="258" spans="9:10" x14ac:dyDescent="0.3">
      <c r="I258" s="20"/>
      <c r="J258" s="20"/>
    </row>
    <row r="259" spans="9:10" x14ac:dyDescent="0.3">
      <c r="I259" s="20"/>
      <c r="J259" s="20"/>
    </row>
    <row r="260" spans="9:10" x14ac:dyDescent="0.3">
      <c r="I260" s="20"/>
      <c r="J260" s="20"/>
    </row>
    <row r="261" spans="9:10" x14ac:dyDescent="0.3">
      <c r="I261" s="20"/>
      <c r="J261" s="20"/>
    </row>
    <row r="262" spans="9:10" x14ac:dyDescent="0.3">
      <c r="I262" s="20"/>
      <c r="J262" s="20"/>
    </row>
    <row r="263" spans="9:10" x14ac:dyDescent="0.3">
      <c r="I263" s="20"/>
      <c r="J263" s="20"/>
    </row>
    <row r="264" spans="9:10" x14ac:dyDescent="0.3">
      <c r="I264" s="20"/>
      <c r="J264" s="20"/>
    </row>
    <row r="265" spans="9:10" x14ac:dyDescent="0.3">
      <c r="I265" s="20"/>
      <c r="J265" s="20"/>
    </row>
    <row r="266" spans="9:10" x14ac:dyDescent="0.3">
      <c r="I266" s="20"/>
      <c r="J266" s="20"/>
    </row>
    <row r="267" spans="9:10" x14ac:dyDescent="0.3">
      <c r="I267" s="20"/>
      <c r="J267" s="20"/>
    </row>
    <row r="268" spans="9:10" x14ac:dyDescent="0.3">
      <c r="I268" s="20"/>
      <c r="J268" s="20"/>
    </row>
    <row r="269" spans="9:10" x14ac:dyDescent="0.3">
      <c r="I269" s="20"/>
      <c r="J269" s="20"/>
    </row>
    <row r="270" spans="9:10" x14ac:dyDescent="0.3">
      <c r="I270" s="20"/>
      <c r="J270" s="20"/>
    </row>
    <row r="271" spans="9:10" x14ac:dyDescent="0.3">
      <c r="I271" s="20"/>
      <c r="J271" s="20"/>
    </row>
    <row r="272" spans="9:10" x14ac:dyDescent="0.3">
      <c r="I272" s="20"/>
      <c r="J272" s="20"/>
    </row>
    <row r="273" spans="9:10" x14ac:dyDescent="0.3">
      <c r="I273" s="20"/>
      <c r="J273" s="20"/>
    </row>
    <row r="274" spans="9:10" x14ac:dyDescent="0.3">
      <c r="I274" s="20"/>
      <c r="J274" s="20"/>
    </row>
    <row r="275" spans="9:10" x14ac:dyDescent="0.3">
      <c r="I275" s="20"/>
      <c r="J275" s="20"/>
    </row>
    <row r="276" spans="9:10" x14ac:dyDescent="0.3">
      <c r="I276" s="20"/>
      <c r="J276" s="20"/>
    </row>
    <row r="277" spans="9:10" x14ac:dyDescent="0.3">
      <c r="I277" s="20"/>
      <c r="J277" s="20"/>
    </row>
    <row r="278" spans="9:10" x14ac:dyDescent="0.3">
      <c r="I278" s="20"/>
      <c r="J278" s="20"/>
    </row>
    <row r="279" spans="9:10" x14ac:dyDescent="0.3">
      <c r="I279" s="20"/>
      <c r="J279" s="20"/>
    </row>
    <row r="280" spans="9:10" x14ac:dyDescent="0.3">
      <c r="I280" s="20"/>
      <c r="J280" s="20"/>
    </row>
    <row r="281" spans="9:10" x14ac:dyDescent="0.3">
      <c r="I281" s="20"/>
      <c r="J281" s="20"/>
    </row>
    <row r="282" spans="9:10" x14ac:dyDescent="0.3">
      <c r="I282" s="20"/>
      <c r="J282" s="20"/>
    </row>
    <row r="283" spans="9:10" x14ac:dyDescent="0.3">
      <c r="I283" s="20"/>
      <c r="J283" s="20"/>
    </row>
    <row r="284" spans="9:10" x14ac:dyDescent="0.3">
      <c r="I284" s="20"/>
      <c r="J284" s="20"/>
    </row>
    <row r="285" spans="9:10" x14ac:dyDescent="0.3">
      <c r="I285" s="20"/>
      <c r="J285" s="20"/>
    </row>
    <row r="286" spans="9:10" x14ac:dyDescent="0.3">
      <c r="I286" s="20"/>
      <c r="J286" s="20"/>
    </row>
    <row r="287" spans="9:10" x14ac:dyDescent="0.3">
      <c r="I287" s="20"/>
      <c r="J287" s="20"/>
    </row>
    <row r="288" spans="9:10" x14ac:dyDescent="0.3">
      <c r="I288" s="20"/>
      <c r="J288" s="20"/>
    </row>
    <row r="289" spans="9:10" x14ac:dyDescent="0.3">
      <c r="I289" s="20"/>
      <c r="J289" s="20"/>
    </row>
    <row r="290" spans="9:10" x14ac:dyDescent="0.3">
      <c r="I290" s="20"/>
      <c r="J290" s="20"/>
    </row>
    <row r="291" spans="9:10" x14ac:dyDescent="0.3">
      <c r="I291" s="20"/>
      <c r="J291" s="20"/>
    </row>
    <row r="292" spans="9:10" x14ac:dyDescent="0.3">
      <c r="I292" s="20"/>
      <c r="J292" s="20"/>
    </row>
    <row r="293" spans="9:10" x14ac:dyDescent="0.3">
      <c r="I293" s="20"/>
      <c r="J293" s="20"/>
    </row>
    <row r="294" spans="9:10" x14ac:dyDescent="0.3">
      <c r="I294" s="20"/>
      <c r="J294" s="20"/>
    </row>
    <row r="295" spans="9:10" x14ac:dyDescent="0.3">
      <c r="I295" s="20"/>
      <c r="J295" s="20"/>
    </row>
    <row r="296" spans="9:10" x14ac:dyDescent="0.3">
      <c r="I296" s="20"/>
      <c r="J296" s="20"/>
    </row>
    <row r="297" spans="9:10" x14ac:dyDescent="0.3">
      <c r="I297" s="20"/>
      <c r="J297" s="20"/>
    </row>
    <row r="298" spans="9:10" x14ac:dyDescent="0.3">
      <c r="I298" s="20"/>
      <c r="J298" s="20"/>
    </row>
    <row r="299" spans="9:10" x14ac:dyDescent="0.3">
      <c r="I299" s="20"/>
      <c r="J299" s="20"/>
    </row>
    <row r="300" spans="9:10" x14ac:dyDescent="0.3">
      <c r="I300" s="20"/>
      <c r="J300" s="20"/>
    </row>
    <row r="301" spans="9:10" x14ac:dyDescent="0.3">
      <c r="I301" s="20"/>
      <c r="J301" s="20"/>
    </row>
    <row r="302" spans="9:10" x14ac:dyDescent="0.3">
      <c r="I302" s="20"/>
      <c r="J302" s="20"/>
    </row>
    <row r="303" spans="9:10" x14ac:dyDescent="0.3">
      <c r="I303" s="20"/>
      <c r="J303" s="20"/>
    </row>
    <row r="304" spans="9:10" x14ac:dyDescent="0.3">
      <c r="I304" s="20"/>
      <c r="J304" s="20"/>
    </row>
    <row r="305" spans="9:10" x14ac:dyDescent="0.3">
      <c r="I305" s="20"/>
      <c r="J305" s="20"/>
    </row>
    <row r="306" spans="9:10" x14ac:dyDescent="0.3">
      <c r="I306" s="20"/>
      <c r="J306" s="20"/>
    </row>
    <row r="307" spans="9:10" x14ac:dyDescent="0.3">
      <c r="I307" s="20">
        <f>CONVERT!B306</f>
        <v>0</v>
      </c>
      <c r="J307" s="20">
        <f>CONVERT!AD306</f>
        <v>0</v>
      </c>
    </row>
    <row r="308" spans="9:10" x14ac:dyDescent="0.3">
      <c r="I308" s="20">
        <f>CONVERT!B307</f>
        <v>0</v>
      </c>
    </row>
  </sheetData>
  <sheetProtection formatColumns="0" formatRows="0" selectLockedCells="1" sort="0" autoFilter="0"/>
  <phoneticPr fontId="13" type="noConversion"/>
  <conditionalFormatting sqref="A1:G1 I1:J1 A3:A106 A107:G1048576">
    <cfRule type="expression" dxfId="7" priority="5">
      <formula>$E2&lt;&gt;""</formula>
    </cfRule>
  </conditionalFormatting>
  <conditionalFormatting sqref="A2:G2">
    <cfRule type="expression" dxfId="6" priority="4">
      <formula>$E2&lt;&gt;""</formula>
    </cfRule>
  </conditionalFormatting>
  <conditionalFormatting sqref="B3:G106">
    <cfRule type="expression" dxfId="5" priority="1">
      <formula>$E4&lt;&gt;""</formula>
    </cfRule>
  </conditionalFormatting>
  <conditionalFormatting sqref="I2:J1048576">
    <cfRule type="expression" dxfId="4" priority="13">
      <formula>$G3&lt;&gt;""</formula>
    </cfRule>
  </conditionalFormatting>
  <pageMargins left="0.75" right="0.75" top="0.75" bottom="0.5" header="0.5" footer="0.75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Data!$G$66:$G$78</xm:f>
          </x14:formula1>
          <xm:sqref>G169:G172</xm:sqref>
        </x14:dataValidation>
        <x14:dataValidation type="list" allowBlank="1" showInputMessage="1" showErrorMessage="1" xr:uid="{62D5B66C-4592-4325-A4E6-D9B164397480}">
          <x14:formula1>
            <xm:f>Data!$G$47:$G$48</xm:f>
          </x14:formula1>
          <xm:sqref>F3:F168</xm:sqref>
        </x14:dataValidation>
        <x14:dataValidation type="list" allowBlank="1" showInputMessage="1" showErrorMessage="1" xr:uid="{66E64493-C6AB-436C-B5AA-39DEFCAB95E3}">
          <x14:formula1>
            <xm:f>Data!$G$77:$G$80</xm:f>
          </x14:formula1>
          <xm:sqref>G3:G168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G168"/>
  <sheetViews>
    <sheetView topLeftCell="A34" workbookViewId="0">
      <selection activeCell="D52" sqref="D52"/>
    </sheetView>
  </sheetViews>
  <sheetFormatPr defaultRowHeight="14.4" x14ac:dyDescent="0.3"/>
  <sheetData>
    <row r="1" spans="1:7" x14ac:dyDescent="0.3">
      <c r="A1" s="19">
        <v>44959</v>
      </c>
      <c r="B1" s="11" t="s">
        <v>177</v>
      </c>
      <c r="C1" s="11" t="s">
        <v>176</v>
      </c>
      <c r="D1" s="11">
        <v>6</v>
      </c>
      <c r="E1" s="12">
        <v>8000000</v>
      </c>
      <c r="F1" s="12" t="s">
        <v>178</v>
      </c>
      <c r="G1" s="11"/>
    </row>
    <row r="2" spans="1:7" x14ac:dyDescent="0.3">
      <c r="A2" s="19">
        <v>44959</v>
      </c>
      <c r="B2" s="11" t="s">
        <v>177</v>
      </c>
      <c r="C2" s="11" t="s">
        <v>176</v>
      </c>
      <c r="D2" s="11">
        <v>6</v>
      </c>
      <c r="E2" s="12">
        <v>8000000</v>
      </c>
      <c r="F2" s="12" t="s">
        <v>178</v>
      </c>
      <c r="G2" s="11"/>
    </row>
    <row r="3" spans="1:7" x14ac:dyDescent="0.3">
      <c r="A3" s="19">
        <v>44959</v>
      </c>
      <c r="B3" s="11" t="s">
        <v>177</v>
      </c>
      <c r="C3" s="11" t="s">
        <v>176</v>
      </c>
      <c r="D3" s="11">
        <v>6</v>
      </c>
      <c r="E3" s="12">
        <v>8000000</v>
      </c>
      <c r="F3" s="12" t="s">
        <v>178</v>
      </c>
      <c r="G3" s="11"/>
    </row>
    <row r="4" spans="1:7" x14ac:dyDescent="0.3">
      <c r="A4" s="19">
        <v>44959</v>
      </c>
      <c r="B4" s="11" t="s">
        <v>177</v>
      </c>
      <c r="C4" s="11" t="s">
        <v>176</v>
      </c>
      <c r="D4" s="11">
        <v>6</v>
      </c>
      <c r="E4" s="12">
        <v>8000000</v>
      </c>
      <c r="F4" s="12" t="s">
        <v>178</v>
      </c>
      <c r="G4" s="11"/>
    </row>
    <row r="5" spans="1:7" x14ac:dyDescent="0.3">
      <c r="A5" s="19">
        <v>44959</v>
      </c>
      <c r="B5" s="11" t="s">
        <v>177</v>
      </c>
      <c r="C5" s="11" t="s">
        <v>176</v>
      </c>
      <c r="D5" s="11">
        <v>6</v>
      </c>
      <c r="E5" s="12">
        <v>8000000</v>
      </c>
      <c r="F5" s="12" t="s">
        <v>178</v>
      </c>
      <c r="G5" s="11"/>
    </row>
    <row r="6" spans="1:7" x14ac:dyDescent="0.3">
      <c r="A6" s="19">
        <v>44959</v>
      </c>
      <c r="B6" s="11" t="s">
        <v>177</v>
      </c>
      <c r="C6" s="11" t="s">
        <v>176</v>
      </c>
      <c r="D6" s="11">
        <v>6</v>
      </c>
      <c r="E6" s="12">
        <v>8000000</v>
      </c>
      <c r="F6" s="12" t="s">
        <v>178</v>
      </c>
      <c r="G6" s="11"/>
    </row>
    <row r="7" spans="1:7" x14ac:dyDescent="0.3">
      <c r="A7" s="19">
        <v>44959</v>
      </c>
      <c r="B7" s="11" t="s">
        <v>177</v>
      </c>
      <c r="C7" s="11" t="s">
        <v>176</v>
      </c>
      <c r="D7" s="11">
        <v>6</v>
      </c>
      <c r="E7" s="12">
        <v>8000000</v>
      </c>
      <c r="F7" s="12" t="s">
        <v>178</v>
      </c>
      <c r="G7" s="11"/>
    </row>
    <row r="8" spans="1:7" x14ac:dyDescent="0.3">
      <c r="A8" s="19">
        <v>44959</v>
      </c>
      <c r="B8" s="11" t="s">
        <v>177</v>
      </c>
      <c r="C8" s="11" t="s">
        <v>176</v>
      </c>
      <c r="D8" s="11">
        <v>6</v>
      </c>
      <c r="E8" s="12">
        <v>8000000</v>
      </c>
      <c r="F8" s="12" t="s">
        <v>178</v>
      </c>
      <c r="G8" s="11"/>
    </row>
    <row r="9" spans="1:7" x14ac:dyDescent="0.3">
      <c r="A9" s="19">
        <v>44959</v>
      </c>
      <c r="B9" s="11" t="s">
        <v>177</v>
      </c>
      <c r="C9" s="11" t="s">
        <v>176</v>
      </c>
      <c r="D9" s="11">
        <v>6</v>
      </c>
      <c r="E9" s="12">
        <v>8000000</v>
      </c>
      <c r="F9" s="12" t="s">
        <v>178</v>
      </c>
      <c r="G9" s="11"/>
    </row>
    <row r="10" spans="1:7" x14ac:dyDescent="0.3">
      <c r="A10" s="19">
        <v>44959</v>
      </c>
      <c r="B10" s="11" t="s">
        <v>177</v>
      </c>
      <c r="C10" s="11" t="s">
        <v>176</v>
      </c>
      <c r="D10" s="11">
        <v>6</v>
      </c>
      <c r="E10" s="12">
        <v>8000000</v>
      </c>
      <c r="F10" s="12" t="s">
        <v>178</v>
      </c>
      <c r="G10" s="11"/>
    </row>
    <row r="11" spans="1:7" x14ac:dyDescent="0.3">
      <c r="A11" s="19">
        <v>44959</v>
      </c>
      <c r="B11" s="11" t="s">
        <v>177</v>
      </c>
      <c r="C11" s="11" t="s">
        <v>176</v>
      </c>
      <c r="D11" s="11">
        <v>6</v>
      </c>
      <c r="E11" s="12">
        <v>8000000</v>
      </c>
      <c r="F11" s="12" t="s">
        <v>178</v>
      </c>
      <c r="G11" s="11"/>
    </row>
    <row r="12" spans="1:7" x14ac:dyDescent="0.3">
      <c r="A12" s="19">
        <v>44959</v>
      </c>
      <c r="B12" s="11" t="s">
        <v>177</v>
      </c>
      <c r="C12" s="11" t="s">
        <v>176</v>
      </c>
      <c r="D12" s="11">
        <v>6</v>
      </c>
      <c r="E12" s="12">
        <v>8000000</v>
      </c>
      <c r="F12" s="12" t="s">
        <v>178</v>
      </c>
      <c r="G12" s="11"/>
    </row>
    <row r="13" spans="1:7" x14ac:dyDescent="0.3">
      <c r="A13" s="19">
        <v>44959</v>
      </c>
      <c r="B13" s="11" t="s">
        <v>177</v>
      </c>
      <c r="C13" s="11" t="s">
        <v>176</v>
      </c>
      <c r="D13" s="11">
        <v>6</v>
      </c>
      <c r="E13" s="12">
        <v>8000000</v>
      </c>
      <c r="F13" s="12" t="s">
        <v>178</v>
      </c>
      <c r="G13" s="11"/>
    </row>
    <row r="14" spans="1:7" x14ac:dyDescent="0.3">
      <c r="A14" s="19">
        <v>44959</v>
      </c>
      <c r="B14" s="11" t="s">
        <v>177</v>
      </c>
      <c r="C14" s="11" t="s">
        <v>176</v>
      </c>
      <c r="D14" s="11">
        <v>6</v>
      </c>
      <c r="E14" s="12">
        <v>8000000</v>
      </c>
      <c r="F14" s="12" t="s">
        <v>178</v>
      </c>
      <c r="G14" s="11"/>
    </row>
    <row r="15" spans="1:7" x14ac:dyDescent="0.3">
      <c r="A15" s="19">
        <v>44959</v>
      </c>
      <c r="B15" s="11" t="s">
        <v>177</v>
      </c>
      <c r="C15" s="11" t="s">
        <v>176</v>
      </c>
      <c r="D15" s="11">
        <v>6</v>
      </c>
      <c r="E15" s="12">
        <v>8000000</v>
      </c>
      <c r="F15" s="12" t="s">
        <v>178</v>
      </c>
      <c r="G15" s="11"/>
    </row>
    <row r="16" spans="1:7" x14ac:dyDescent="0.3">
      <c r="A16" s="19">
        <v>44959</v>
      </c>
      <c r="B16" s="11" t="s">
        <v>177</v>
      </c>
      <c r="C16" s="11" t="s">
        <v>176</v>
      </c>
      <c r="D16" s="11">
        <v>6</v>
      </c>
      <c r="E16" s="12">
        <v>8000000</v>
      </c>
      <c r="F16" s="12" t="s">
        <v>178</v>
      </c>
      <c r="G16" s="11"/>
    </row>
    <row r="17" spans="1:7" x14ac:dyDescent="0.3">
      <c r="A17" s="19">
        <v>44959</v>
      </c>
      <c r="B17" s="11" t="s">
        <v>177</v>
      </c>
      <c r="C17" s="11" t="s">
        <v>176</v>
      </c>
      <c r="D17" s="11">
        <v>6</v>
      </c>
      <c r="E17" s="12">
        <v>8000000</v>
      </c>
      <c r="F17" s="12" t="s">
        <v>178</v>
      </c>
      <c r="G17" s="11"/>
    </row>
    <row r="18" spans="1:7" x14ac:dyDescent="0.3">
      <c r="A18" s="19">
        <v>44959</v>
      </c>
      <c r="B18" s="11" t="s">
        <v>177</v>
      </c>
      <c r="C18" s="11" t="s">
        <v>176</v>
      </c>
      <c r="D18" s="11">
        <v>6</v>
      </c>
      <c r="E18" s="12">
        <v>8000000</v>
      </c>
      <c r="F18" s="12" t="s">
        <v>178</v>
      </c>
      <c r="G18" s="11"/>
    </row>
    <row r="19" spans="1:7" x14ac:dyDescent="0.3">
      <c r="A19" s="19">
        <v>44959</v>
      </c>
      <c r="B19" s="11" t="s">
        <v>177</v>
      </c>
      <c r="C19" s="11" t="s">
        <v>176</v>
      </c>
      <c r="D19" s="11">
        <v>6</v>
      </c>
      <c r="E19" s="12">
        <v>8000000</v>
      </c>
      <c r="F19" s="12" t="s">
        <v>178</v>
      </c>
      <c r="G19" s="11"/>
    </row>
    <row r="20" spans="1:7" x14ac:dyDescent="0.3">
      <c r="A20" s="19">
        <v>44959</v>
      </c>
      <c r="B20" s="11" t="s">
        <v>177</v>
      </c>
      <c r="C20" s="11" t="s">
        <v>176</v>
      </c>
      <c r="D20" s="11">
        <v>6</v>
      </c>
      <c r="E20" s="12">
        <v>8000000</v>
      </c>
      <c r="F20" s="12" t="s">
        <v>178</v>
      </c>
      <c r="G20" s="11"/>
    </row>
    <row r="21" spans="1:7" x14ac:dyDescent="0.3">
      <c r="A21" s="19">
        <v>44959</v>
      </c>
      <c r="B21" s="11" t="s">
        <v>177</v>
      </c>
      <c r="C21" s="11" t="s">
        <v>176</v>
      </c>
      <c r="D21" s="11">
        <v>6</v>
      </c>
      <c r="E21" s="12">
        <v>8000000</v>
      </c>
      <c r="F21" s="12" t="s">
        <v>178</v>
      </c>
      <c r="G21" s="11"/>
    </row>
    <row r="22" spans="1:7" x14ac:dyDescent="0.3">
      <c r="A22" s="19">
        <v>44959</v>
      </c>
      <c r="B22" s="11" t="s">
        <v>177</v>
      </c>
      <c r="C22" s="11" t="s">
        <v>176</v>
      </c>
      <c r="D22" s="11">
        <v>6</v>
      </c>
      <c r="E22" s="12">
        <v>8000000</v>
      </c>
      <c r="F22" s="12" t="s">
        <v>178</v>
      </c>
      <c r="G22" s="11"/>
    </row>
    <row r="23" spans="1:7" x14ac:dyDescent="0.3">
      <c r="A23" s="19">
        <v>44959</v>
      </c>
      <c r="B23" s="11" t="s">
        <v>177</v>
      </c>
      <c r="C23" s="11" t="s">
        <v>176</v>
      </c>
      <c r="D23" s="11">
        <v>6</v>
      </c>
      <c r="E23" s="12">
        <v>8000000</v>
      </c>
      <c r="F23" s="12" t="s">
        <v>178</v>
      </c>
      <c r="G23" s="11"/>
    </row>
    <row r="24" spans="1:7" x14ac:dyDescent="0.3">
      <c r="A24" s="19">
        <v>44959</v>
      </c>
      <c r="B24" s="11" t="s">
        <v>177</v>
      </c>
      <c r="C24" s="11" t="s">
        <v>176</v>
      </c>
      <c r="D24" s="11">
        <v>6</v>
      </c>
      <c r="E24" s="12">
        <v>8000000</v>
      </c>
      <c r="F24" s="12" t="s">
        <v>178</v>
      </c>
      <c r="G24" s="11"/>
    </row>
    <row r="25" spans="1:7" x14ac:dyDescent="0.3">
      <c r="A25" s="19">
        <v>44959</v>
      </c>
      <c r="B25" s="11" t="s">
        <v>177</v>
      </c>
      <c r="C25" s="11" t="s">
        <v>176</v>
      </c>
      <c r="D25" s="11">
        <v>6</v>
      </c>
      <c r="E25" s="12">
        <v>8000000</v>
      </c>
      <c r="F25" s="12" t="s">
        <v>178</v>
      </c>
      <c r="G25" s="11"/>
    </row>
    <row r="26" spans="1:7" x14ac:dyDescent="0.3">
      <c r="A26" s="19">
        <v>44959</v>
      </c>
      <c r="B26" s="11" t="s">
        <v>177</v>
      </c>
      <c r="C26" s="11" t="s">
        <v>176</v>
      </c>
      <c r="D26" s="11">
        <v>6</v>
      </c>
      <c r="E26" s="12">
        <v>8000000</v>
      </c>
      <c r="F26" s="12" t="s">
        <v>178</v>
      </c>
      <c r="G26" s="11"/>
    </row>
    <row r="27" spans="1:7" x14ac:dyDescent="0.3">
      <c r="A27" s="19">
        <v>44959</v>
      </c>
      <c r="B27" s="11" t="s">
        <v>177</v>
      </c>
      <c r="C27" s="11" t="s">
        <v>176</v>
      </c>
      <c r="D27" s="11">
        <v>6</v>
      </c>
      <c r="E27" s="12">
        <v>8000000</v>
      </c>
      <c r="F27" s="12" t="s">
        <v>178</v>
      </c>
      <c r="G27" s="11"/>
    </row>
    <row r="28" spans="1:7" x14ac:dyDescent="0.3">
      <c r="A28" s="19">
        <v>44959</v>
      </c>
      <c r="B28" s="11" t="s">
        <v>177</v>
      </c>
      <c r="C28" s="11" t="s">
        <v>176</v>
      </c>
      <c r="D28" s="11">
        <v>6</v>
      </c>
      <c r="E28" s="12">
        <v>8000000</v>
      </c>
      <c r="F28" s="12" t="s">
        <v>178</v>
      </c>
      <c r="G28" s="11"/>
    </row>
    <row r="29" spans="1:7" x14ac:dyDescent="0.3">
      <c r="A29" s="19">
        <v>44959</v>
      </c>
      <c r="B29" s="11" t="s">
        <v>177</v>
      </c>
      <c r="C29" s="11" t="s">
        <v>176</v>
      </c>
      <c r="D29" s="11">
        <v>6</v>
      </c>
      <c r="E29" s="12">
        <v>8000000</v>
      </c>
      <c r="F29" s="12" t="s">
        <v>178</v>
      </c>
      <c r="G29" s="11"/>
    </row>
    <row r="30" spans="1:7" x14ac:dyDescent="0.3">
      <c r="A30" s="19">
        <v>44959</v>
      </c>
      <c r="B30" s="11" t="s">
        <v>177</v>
      </c>
      <c r="C30" s="11" t="s">
        <v>176</v>
      </c>
      <c r="D30" s="11">
        <v>6</v>
      </c>
      <c r="E30" s="12">
        <v>8000000</v>
      </c>
      <c r="F30" s="12" t="s">
        <v>178</v>
      </c>
      <c r="G30" s="11"/>
    </row>
    <row r="31" spans="1:7" x14ac:dyDescent="0.3">
      <c r="A31" s="19">
        <v>44959</v>
      </c>
      <c r="B31" s="11" t="s">
        <v>177</v>
      </c>
      <c r="C31" s="11" t="s">
        <v>176</v>
      </c>
      <c r="D31" s="11">
        <v>6</v>
      </c>
      <c r="E31" s="12">
        <v>8000000</v>
      </c>
      <c r="F31" s="12" t="s">
        <v>178</v>
      </c>
      <c r="G31" s="11"/>
    </row>
    <row r="32" spans="1:7" x14ac:dyDescent="0.3">
      <c r="A32" s="19">
        <v>44959</v>
      </c>
      <c r="B32" s="11" t="s">
        <v>177</v>
      </c>
      <c r="C32" s="11" t="s">
        <v>176</v>
      </c>
      <c r="D32" s="11">
        <v>6</v>
      </c>
      <c r="E32" s="12">
        <v>8000000</v>
      </c>
      <c r="F32" s="12" t="s">
        <v>178</v>
      </c>
      <c r="G32" s="11"/>
    </row>
    <row r="33" spans="1:7" x14ac:dyDescent="0.3">
      <c r="A33" s="19">
        <v>44959</v>
      </c>
      <c r="B33" s="11" t="s">
        <v>177</v>
      </c>
      <c r="C33" s="11" t="s">
        <v>176</v>
      </c>
      <c r="D33" s="11">
        <v>6</v>
      </c>
      <c r="E33" s="12">
        <v>8000000</v>
      </c>
      <c r="F33" s="12" t="s">
        <v>178</v>
      </c>
      <c r="G33" s="11"/>
    </row>
    <row r="34" spans="1:7" x14ac:dyDescent="0.3">
      <c r="A34" s="19">
        <v>44959</v>
      </c>
      <c r="B34" s="11" t="s">
        <v>177</v>
      </c>
      <c r="C34" s="11" t="s">
        <v>176</v>
      </c>
      <c r="D34" s="11">
        <v>6</v>
      </c>
      <c r="E34" s="12">
        <v>8000000</v>
      </c>
      <c r="F34" s="12" t="s">
        <v>178</v>
      </c>
      <c r="G34" s="11"/>
    </row>
    <row r="35" spans="1:7" x14ac:dyDescent="0.3">
      <c r="A35" s="19">
        <v>44959</v>
      </c>
      <c r="B35" s="11" t="s">
        <v>177</v>
      </c>
      <c r="C35" s="11" t="s">
        <v>176</v>
      </c>
      <c r="D35" s="11">
        <v>6</v>
      </c>
      <c r="E35" s="12">
        <v>8000000</v>
      </c>
      <c r="F35" s="12" t="s">
        <v>178</v>
      </c>
      <c r="G35" s="11"/>
    </row>
    <row r="36" spans="1:7" x14ac:dyDescent="0.3">
      <c r="A36" s="19">
        <v>44959</v>
      </c>
      <c r="B36" s="11" t="s">
        <v>177</v>
      </c>
      <c r="C36" s="11" t="s">
        <v>176</v>
      </c>
      <c r="D36" s="11">
        <v>6</v>
      </c>
      <c r="E36" s="12">
        <v>8000000</v>
      </c>
      <c r="F36" s="12" t="s">
        <v>178</v>
      </c>
      <c r="G36" s="11"/>
    </row>
    <row r="37" spans="1:7" x14ac:dyDescent="0.3">
      <c r="A37" s="19">
        <v>44959</v>
      </c>
      <c r="B37" s="11" t="s">
        <v>177</v>
      </c>
      <c r="C37" s="11" t="s">
        <v>176</v>
      </c>
      <c r="D37" s="11">
        <v>6</v>
      </c>
      <c r="E37" s="12">
        <v>8000000</v>
      </c>
      <c r="F37" s="12" t="s">
        <v>178</v>
      </c>
      <c r="G37" s="11"/>
    </row>
    <row r="38" spans="1:7" x14ac:dyDescent="0.3">
      <c r="A38" s="19">
        <v>44959</v>
      </c>
      <c r="B38" s="11" t="s">
        <v>177</v>
      </c>
      <c r="C38" s="11" t="s">
        <v>176</v>
      </c>
      <c r="D38" s="11">
        <v>6</v>
      </c>
      <c r="E38" s="12">
        <v>8000000</v>
      </c>
      <c r="F38" s="12" t="s">
        <v>178</v>
      </c>
      <c r="G38" s="11"/>
    </row>
    <row r="39" spans="1:7" x14ac:dyDescent="0.3">
      <c r="A39" s="19">
        <v>44959</v>
      </c>
      <c r="B39" s="11" t="s">
        <v>177</v>
      </c>
      <c r="C39" s="11" t="s">
        <v>176</v>
      </c>
      <c r="D39" s="11">
        <v>6</v>
      </c>
      <c r="E39" s="12">
        <v>8000000</v>
      </c>
      <c r="F39" s="12" t="s">
        <v>178</v>
      </c>
      <c r="G39" s="11"/>
    </row>
    <row r="40" spans="1:7" x14ac:dyDescent="0.3">
      <c r="A40" s="19">
        <v>44959</v>
      </c>
      <c r="B40" s="11" t="s">
        <v>177</v>
      </c>
      <c r="C40" s="11" t="s">
        <v>176</v>
      </c>
      <c r="D40" s="11">
        <v>6</v>
      </c>
      <c r="E40" s="12">
        <v>8000000</v>
      </c>
      <c r="F40" s="12" t="s">
        <v>178</v>
      </c>
      <c r="G40" s="11"/>
    </row>
    <row r="41" spans="1:7" x14ac:dyDescent="0.3">
      <c r="A41" s="19">
        <v>44959</v>
      </c>
      <c r="B41" s="11" t="s">
        <v>177</v>
      </c>
      <c r="C41" s="11" t="s">
        <v>176</v>
      </c>
      <c r="D41" s="11">
        <v>6</v>
      </c>
      <c r="E41" s="12">
        <v>8000000</v>
      </c>
      <c r="F41" s="12" t="s">
        <v>178</v>
      </c>
      <c r="G41" s="11"/>
    </row>
    <row r="42" spans="1:7" x14ac:dyDescent="0.3">
      <c r="A42" s="19">
        <v>44959</v>
      </c>
      <c r="B42" s="11" t="s">
        <v>177</v>
      </c>
      <c r="C42" s="11" t="s">
        <v>176</v>
      </c>
      <c r="D42" s="11">
        <v>6</v>
      </c>
      <c r="E42" s="12">
        <v>8000000</v>
      </c>
      <c r="F42" s="12" t="s">
        <v>178</v>
      </c>
      <c r="G42" s="11"/>
    </row>
    <row r="43" spans="1:7" x14ac:dyDescent="0.3">
      <c r="A43" s="19">
        <v>44959</v>
      </c>
      <c r="B43" s="11" t="s">
        <v>177</v>
      </c>
      <c r="C43" s="11" t="s">
        <v>176</v>
      </c>
      <c r="D43" s="11">
        <v>6</v>
      </c>
      <c r="E43" s="12">
        <v>8000000</v>
      </c>
      <c r="F43" s="12" t="s">
        <v>178</v>
      </c>
      <c r="G43" s="11"/>
    </row>
    <row r="44" spans="1:7" x14ac:dyDescent="0.3">
      <c r="A44" s="19">
        <v>44959</v>
      </c>
      <c r="B44" s="11" t="s">
        <v>177</v>
      </c>
      <c r="C44" s="11" t="s">
        <v>176</v>
      </c>
      <c r="D44" s="11">
        <v>6</v>
      </c>
      <c r="E44" s="12">
        <v>8000000</v>
      </c>
      <c r="F44" s="12" t="s">
        <v>178</v>
      </c>
      <c r="G44" s="11"/>
    </row>
    <row r="45" spans="1:7" x14ac:dyDescent="0.3">
      <c r="A45" s="19">
        <v>44959</v>
      </c>
      <c r="B45" s="11" t="s">
        <v>177</v>
      </c>
      <c r="C45" s="11" t="s">
        <v>176</v>
      </c>
      <c r="D45" s="11">
        <v>6</v>
      </c>
      <c r="E45" s="12">
        <v>8000000</v>
      </c>
      <c r="F45" s="12" t="s">
        <v>178</v>
      </c>
      <c r="G45" s="11"/>
    </row>
    <row r="46" spans="1:7" x14ac:dyDescent="0.3">
      <c r="A46" s="19">
        <v>44959</v>
      </c>
      <c r="B46" s="11" t="s">
        <v>177</v>
      </c>
      <c r="C46" s="11" t="s">
        <v>176</v>
      </c>
      <c r="D46" s="11">
        <v>6</v>
      </c>
      <c r="E46" s="12">
        <v>8000000</v>
      </c>
      <c r="F46" s="12" t="s">
        <v>178</v>
      </c>
      <c r="G46" s="11"/>
    </row>
    <row r="47" spans="1:7" x14ac:dyDescent="0.3">
      <c r="A47" s="19">
        <v>44959</v>
      </c>
      <c r="B47" s="11" t="s">
        <v>177</v>
      </c>
      <c r="C47" s="11" t="s">
        <v>176</v>
      </c>
      <c r="D47" s="11">
        <v>6</v>
      </c>
      <c r="E47" s="12">
        <v>8000000</v>
      </c>
      <c r="F47" s="12" t="s">
        <v>178</v>
      </c>
      <c r="G47" s="11"/>
    </row>
    <row r="48" spans="1:7" x14ac:dyDescent="0.3">
      <c r="A48" s="19">
        <v>44959</v>
      </c>
      <c r="B48" s="11" t="s">
        <v>177</v>
      </c>
      <c r="C48" s="11" t="s">
        <v>176</v>
      </c>
      <c r="D48" s="11">
        <v>6</v>
      </c>
      <c r="E48" s="12">
        <v>8000000</v>
      </c>
      <c r="F48" s="12" t="s">
        <v>178</v>
      </c>
      <c r="G48" s="11"/>
    </row>
    <row r="49" spans="1:7" x14ac:dyDescent="0.3">
      <c r="A49" s="19">
        <v>44959</v>
      </c>
      <c r="B49" s="11" t="s">
        <v>177</v>
      </c>
      <c r="C49" s="11" t="s">
        <v>176</v>
      </c>
      <c r="D49" s="11">
        <v>6</v>
      </c>
      <c r="E49" s="12">
        <v>8000000</v>
      </c>
      <c r="F49" s="12" t="s">
        <v>178</v>
      </c>
      <c r="G49" s="11"/>
    </row>
    <row r="50" spans="1:7" x14ac:dyDescent="0.3">
      <c r="A50" s="19">
        <v>44959</v>
      </c>
      <c r="B50" s="11" t="s">
        <v>177</v>
      </c>
      <c r="C50" s="11" t="s">
        <v>176</v>
      </c>
      <c r="D50" s="11">
        <v>6</v>
      </c>
      <c r="E50" s="12">
        <v>8000000</v>
      </c>
      <c r="F50" s="12" t="s">
        <v>178</v>
      </c>
      <c r="G50" s="11"/>
    </row>
    <row r="51" spans="1:7" x14ac:dyDescent="0.3">
      <c r="A51" s="19">
        <v>44959</v>
      </c>
      <c r="B51" s="11" t="s">
        <v>177</v>
      </c>
      <c r="C51" s="11" t="s">
        <v>176</v>
      </c>
      <c r="D51" s="11">
        <v>6</v>
      </c>
      <c r="E51" s="12">
        <v>8000000</v>
      </c>
      <c r="F51" s="12" t="s">
        <v>178</v>
      </c>
      <c r="G51" s="11"/>
    </row>
    <row r="52" spans="1:7" x14ac:dyDescent="0.3">
      <c r="A52" s="19">
        <v>44959</v>
      </c>
      <c r="B52" s="11" t="s">
        <v>177</v>
      </c>
      <c r="C52" s="11" t="s">
        <v>176</v>
      </c>
      <c r="D52" s="11">
        <v>6</v>
      </c>
      <c r="E52" s="12">
        <v>8000000</v>
      </c>
      <c r="F52" s="12" t="s">
        <v>178</v>
      </c>
      <c r="G52" s="11"/>
    </row>
    <row r="53" spans="1:7" x14ac:dyDescent="0.3">
      <c r="A53" s="19">
        <v>44959</v>
      </c>
      <c r="B53" s="11" t="s">
        <v>177</v>
      </c>
      <c r="C53" s="11" t="s">
        <v>176</v>
      </c>
      <c r="D53" s="11">
        <v>6</v>
      </c>
      <c r="E53" s="12">
        <v>8000000</v>
      </c>
      <c r="F53" s="12" t="s">
        <v>178</v>
      </c>
      <c r="G53" s="11"/>
    </row>
    <row r="54" spans="1:7" x14ac:dyDescent="0.3">
      <c r="A54" s="19">
        <v>44959</v>
      </c>
      <c r="B54" s="11" t="s">
        <v>177</v>
      </c>
      <c r="C54" s="11" t="s">
        <v>176</v>
      </c>
      <c r="D54" s="11">
        <v>6</v>
      </c>
      <c r="E54" s="12">
        <v>8000000</v>
      </c>
      <c r="F54" s="12" t="s">
        <v>178</v>
      </c>
      <c r="G54" s="11"/>
    </row>
    <row r="55" spans="1:7" x14ac:dyDescent="0.3">
      <c r="A55" s="19">
        <v>44959</v>
      </c>
      <c r="B55" s="11" t="s">
        <v>177</v>
      </c>
      <c r="C55" s="11" t="s">
        <v>176</v>
      </c>
      <c r="D55" s="11">
        <v>6</v>
      </c>
      <c r="E55" s="12">
        <v>8000000</v>
      </c>
      <c r="F55" s="12" t="s">
        <v>178</v>
      </c>
      <c r="G55" s="11"/>
    </row>
    <row r="56" spans="1:7" x14ac:dyDescent="0.3">
      <c r="A56" s="19">
        <v>44959</v>
      </c>
      <c r="B56" s="11" t="s">
        <v>177</v>
      </c>
      <c r="C56" s="11" t="s">
        <v>176</v>
      </c>
      <c r="D56" s="11">
        <v>6</v>
      </c>
      <c r="E56" s="12">
        <v>8000000</v>
      </c>
      <c r="F56" s="12" t="s">
        <v>178</v>
      </c>
      <c r="G56" s="11"/>
    </row>
    <row r="57" spans="1:7" x14ac:dyDescent="0.3">
      <c r="A57" s="19">
        <v>44959</v>
      </c>
      <c r="B57" s="11" t="s">
        <v>177</v>
      </c>
      <c r="C57" s="11" t="s">
        <v>176</v>
      </c>
      <c r="D57" s="11">
        <v>6</v>
      </c>
      <c r="E57" s="12">
        <v>8000000</v>
      </c>
      <c r="F57" s="12" t="s">
        <v>178</v>
      </c>
      <c r="G57" s="11"/>
    </row>
    <row r="58" spans="1:7" x14ac:dyDescent="0.3">
      <c r="A58" s="19">
        <v>44959</v>
      </c>
      <c r="B58" s="11" t="s">
        <v>177</v>
      </c>
      <c r="C58" s="11" t="s">
        <v>176</v>
      </c>
      <c r="D58" s="11">
        <v>6</v>
      </c>
      <c r="E58" s="12">
        <v>8000000</v>
      </c>
      <c r="F58" s="12" t="s">
        <v>178</v>
      </c>
      <c r="G58" s="11"/>
    </row>
    <row r="59" spans="1:7" x14ac:dyDescent="0.3">
      <c r="A59" s="19">
        <v>44959</v>
      </c>
      <c r="B59" s="11" t="s">
        <v>177</v>
      </c>
      <c r="C59" s="11" t="s">
        <v>176</v>
      </c>
      <c r="D59" s="11">
        <v>6</v>
      </c>
      <c r="E59" s="12">
        <v>8000000</v>
      </c>
      <c r="F59" s="12" t="s">
        <v>178</v>
      </c>
      <c r="G59" s="11"/>
    </row>
    <row r="60" spans="1:7" x14ac:dyDescent="0.3">
      <c r="A60" s="19">
        <v>44959</v>
      </c>
      <c r="B60" s="11" t="s">
        <v>177</v>
      </c>
      <c r="C60" s="11" t="s">
        <v>176</v>
      </c>
      <c r="D60" s="11">
        <v>6</v>
      </c>
      <c r="E60" s="12">
        <v>8000000</v>
      </c>
      <c r="F60" s="12" t="s">
        <v>178</v>
      </c>
      <c r="G60" s="11"/>
    </row>
    <row r="61" spans="1:7" x14ac:dyDescent="0.3">
      <c r="A61" s="19">
        <v>44959</v>
      </c>
      <c r="B61" s="11" t="s">
        <v>177</v>
      </c>
      <c r="C61" s="11" t="s">
        <v>176</v>
      </c>
      <c r="D61" s="11">
        <v>6</v>
      </c>
      <c r="E61" s="12">
        <v>8000000</v>
      </c>
      <c r="F61" s="12" t="s">
        <v>178</v>
      </c>
      <c r="G61" s="11"/>
    </row>
    <row r="62" spans="1:7" x14ac:dyDescent="0.3">
      <c r="A62" s="19">
        <v>44959</v>
      </c>
      <c r="B62" s="11" t="s">
        <v>177</v>
      </c>
      <c r="C62" s="11" t="s">
        <v>176</v>
      </c>
      <c r="D62" s="11">
        <v>6</v>
      </c>
      <c r="E62" s="12">
        <v>8000000</v>
      </c>
      <c r="F62" s="12" t="s">
        <v>178</v>
      </c>
      <c r="G62" s="11"/>
    </row>
    <row r="63" spans="1:7" x14ac:dyDescent="0.3">
      <c r="A63" s="19">
        <v>44959</v>
      </c>
      <c r="B63" s="11" t="s">
        <v>177</v>
      </c>
      <c r="C63" s="11" t="s">
        <v>176</v>
      </c>
      <c r="D63" s="11">
        <v>6</v>
      </c>
      <c r="E63" s="12">
        <v>8000000</v>
      </c>
      <c r="F63" s="12" t="s">
        <v>178</v>
      </c>
      <c r="G63" s="11"/>
    </row>
    <row r="64" spans="1:7" x14ac:dyDescent="0.3">
      <c r="A64" s="19">
        <v>44959</v>
      </c>
      <c r="B64" s="11" t="s">
        <v>177</v>
      </c>
      <c r="C64" s="11" t="s">
        <v>176</v>
      </c>
      <c r="D64" s="11">
        <v>6</v>
      </c>
      <c r="E64" s="12">
        <v>8000000</v>
      </c>
      <c r="F64" s="12" t="s">
        <v>178</v>
      </c>
      <c r="G64" s="11"/>
    </row>
    <row r="65" spans="1:7" x14ac:dyDescent="0.3">
      <c r="A65" s="19">
        <v>44959</v>
      </c>
      <c r="B65" s="11" t="s">
        <v>177</v>
      </c>
      <c r="C65" s="11" t="s">
        <v>176</v>
      </c>
      <c r="D65" s="11">
        <v>6</v>
      </c>
      <c r="E65" s="12">
        <v>8000000</v>
      </c>
      <c r="F65" s="12" t="s">
        <v>178</v>
      </c>
      <c r="G65" s="11"/>
    </row>
    <row r="66" spans="1:7" x14ac:dyDescent="0.3">
      <c r="A66" s="19">
        <v>44959</v>
      </c>
      <c r="B66" s="11" t="s">
        <v>177</v>
      </c>
      <c r="C66" s="11" t="s">
        <v>176</v>
      </c>
      <c r="D66" s="11">
        <v>6</v>
      </c>
      <c r="E66" s="12">
        <v>8000000</v>
      </c>
      <c r="F66" s="12" t="s">
        <v>178</v>
      </c>
      <c r="G66" s="11"/>
    </row>
    <row r="67" spans="1:7" x14ac:dyDescent="0.3">
      <c r="A67" s="19">
        <v>44959</v>
      </c>
      <c r="B67" s="11" t="s">
        <v>177</v>
      </c>
      <c r="C67" s="11" t="s">
        <v>176</v>
      </c>
      <c r="D67" s="11">
        <v>6</v>
      </c>
      <c r="E67" s="12">
        <v>8000000</v>
      </c>
      <c r="F67" s="12" t="s">
        <v>178</v>
      </c>
      <c r="G67" s="11"/>
    </row>
    <row r="68" spans="1:7" x14ac:dyDescent="0.3">
      <c r="A68" s="19">
        <v>44959</v>
      </c>
      <c r="B68" s="11" t="s">
        <v>177</v>
      </c>
      <c r="C68" s="11" t="s">
        <v>176</v>
      </c>
      <c r="D68" s="11">
        <v>6</v>
      </c>
      <c r="E68" s="12">
        <v>8000000</v>
      </c>
      <c r="F68" s="12" t="s">
        <v>178</v>
      </c>
      <c r="G68" s="11"/>
    </row>
    <row r="69" spans="1:7" x14ac:dyDescent="0.3">
      <c r="A69" s="19">
        <v>44959</v>
      </c>
      <c r="B69" s="11" t="s">
        <v>177</v>
      </c>
      <c r="C69" s="11" t="s">
        <v>176</v>
      </c>
      <c r="D69" s="11">
        <v>6</v>
      </c>
      <c r="E69" s="12">
        <v>8000000</v>
      </c>
      <c r="F69" s="12" t="s">
        <v>178</v>
      </c>
      <c r="G69" s="11"/>
    </row>
    <row r="70" spans="1:7" x14ac:dyDescent="0.3">
      <c r="A70" s="19">
        <v>44959</v>
      </c>
      <c r="B70" s="11" t="s">
        <v>177</v>
      </c>
      <c r="C70" s="11" t="s">
        <v>176</v>
      </c>
      <c r="D70" s="11">
        <v>6</v>
      </c>
      <c r="E70" s="12">
        <v>8000000</v>
      </c>
      <c r="F70" s="12" t="s">
        <v>178</v>
      </c>
      <c r="G70" s="11"/>
    </row>
    <row r="71" spans="1:7" x14ac:dyDescent="0.3">
      <c r="A71" s="19">
        <v>44959</v>
      </c>
      <c r="B71" s="11" t="s">
        <v>177</v>
      </c>
      <c r="C71" s="11" t="s">
        <v>176</v>
      </c>
      <c r="D71" s="11">
        <v>6</v>
      </c>
      <c r="E71" s="12">
        <v>8000000</v>
      </c>
      <c r="F71" s="12" t="s">
        <v>178</v>
      </c>
      <c r="G71" s="11"/>
    </row>
    <row r="72" spans="1:7" x14ac:dyDescent="0.3">
      <c r="A72" s="19">
        <v>44959</v>
      </c>
      <c r="B72" s="11" t="s">
        <v>177</v>
      </c>
      <c r="C72" s="11" t="s">
        <v>176</v>
      </c>
      <c r="D72" s="11">
        <v>6</v>
      </c>
      <c r="E72" s="12">
        <v>8000000</v>
      </c>
      <c r="F72" s="12" t="s">
        <v>178</v>
      </c>
      <c r="G72" s="11"/>
    </row>
    <row r="73" spans="1:7" x14ac:dyDescent="0.3">
      <c r="A73" s="19">
        <v>44959</v>
      </c>
      <c r="B73" s="11" t="s">
        <v>177</v>
      </c>
      <c r="C73" s="11" t="s">
        <v>176</v>
      </c>
      <c r="D73" s="11">
        <v>6</v>
      </c>
      <c r="E73" s="12">
        <v>8000000</v>
      </c>
      <c r="F73" s="12" t="s">
        <v>178</v>
      </c>
      <c r="G73" s="11"/>
    </row>
    <row r="74" spans="1:7" x14ac:dyDescent="0.3">
      <c r="A74" s="19">
        <v>44959</v>
      </c>
      <c r="B74" s="11" t="s">
        <v>177</v>
      </c>
      <c r="C74" s="11" t="s">
        <v>176</v>
      </c>
      <c r="D74" s="11">
        <v>6</v>
      </c>
      <c r="E74" s="12">
        <v>8000000</v>
      </c>
      <c r="F74" s="12" t="s">
        <v>178</v>
      </c>
      <c r="G74" s="11"/>
    </row>
    <row r="75" spans="1:7" x14ac:dyDescent="0.3">
      <c r="A75" s="19">
        <v>44959</v>
      </c>
      <c r="B75" s="11" t="s">
        <v>177</v>
      </c>
      <c r="C75" s="11" t="s">
        <v>176</v>
      </c>
      <c r="D75" s="11">
        <v>6</v>
      </c>
      <c r="E75" s="12">
        <v>8000000</v>
      </c>
      <c r="F75" s="12" t="s">
        <v>178</v>
      </c>
      <c r="G75" s="11"/>
    </row>
    <row r="76" spans="1:7" x14ac:dyDescent="0.3">
      <c r="A76" s="19">
        <v>44959</v>
      </c>
      <c r="B76" s="11" t="s">
        <v>177</v>
      </c>
      <c r="C76" s="11" t="s">
        <v>176</v>
      </c>
      <c r="D76" s="11">
        <v>6</v>
      </c>
      <c r="E76" s="12">
        <v>8000000</v>
      </c>
      <c r="F76" s="12" t="s">
        <v>178</v>
      </c>
      <c r="G76" s="11"/>
    </row>
    <row r="77" spans="1:7" x14ac:dyDescent="0.3">
      <c r="A77" s="19">
        <v>44959</v>
      </c>
      <c r="B77" s="11" t="s">
        <v>177</v>
      </c>
      <c r="C77" s="11" t="s">
        <v>176</v>
      </c>
      <c r="D77" s="11">
        <v>6</v>
      </c>
      <c r="E77" s="12">
        <v>8000000</v>
      </c>
      <c r="F77" s="12" t="s">
        <v>178</v>
      </c>
      <c r="G77" s="11"/>
    </row>
    <row r="78" spans="1:7" x14ac:dyDescent="0.3">
      <c r="A78" s="19">
        <v>44959</v>
      </c>
      <c r="B78" s="11" t="s">
        <v>177</v>
      </c>
      <c r="C78" s="11" t="s">
        <v>176</v>
      </c>
      <c r="D78" s="11">
        <v>6</v>
      </c>
      <c r="E78" s="12">
        <v>8000000</v>
      </c>
      <c r="F78" s="12" t="s">
        <v>178</v>
      </c>
      <c r="G78" s="11"/>
    </row>
    <row r="79" spans="1:7" x14ac:dyDescent="0.3">
      <c r="A79" s="19">
        <v>44959</v>
      </c>
      <c r="B79" s="11" t="s">
        <v>177</v>
      </c>
      <c r="C79" s="11" t="s">
        <v>176</v>
      </c>
      <c r="D79" s="11">
        <v>6</v>
      </c>
      <c r="E79" s="12">
        <v>8000000</v>
      </c>
      <c r="F79" s="12" t="s">
        <v>178</v>
      </c>
      <c r="G79" s="11"/>
    </row>
    <row r="80" spans="1:7" x14ac:dyDescent="0.3">
      <c r="A80" s="19">
        <v>44959</v>
      </c>
      <c r="B80" s="11" t="s">
        <v>177</v>
      </c>
      <c r="C80" s="11" t="s">
        <v>176</v>
      </c>
      <c r="D80" s="11">
        <v>6</v>
      </c>
      <c r="E80" s="12">
        <v>8000000</v>
      </c>
      <c r="F80" s="12" t="s">
        <v>178</v>
      </c>
      <c r="G80" s="11"/>
    </row>
    <row r="81" spans="1:7" x14ac:dyDescent="0.3">
      <c r="A81" s="19">
        <v>44959</v>
      </c>
      <c r="B81" s="11" t="s">
        <v>177</v>
      </c>
      <c r="C81" s="11" t="s">
        <v>176</v>
      </c>
      <c r="D81" s="11">
        <v>6</v>
      </c>
      <c r="E81" s="12">
        <v>8000000</v>
      </c>
      <c r="F81" s="12" t="s">
        <v>178</v>
      </c>
      <c r="G81" s="11"/>
    </row>
    <row r="82" spans="1:7" x14ac:dyDescent="0.3">
      <c r="A82" s="19">
        <v>44959</v>
      </c>
      <c r="B82" s="11" t="s">
        <v>177</v>
      </c>
      <c r="C82" s="11" t="s">
        <v>176</v>
      </c>
      <c r="D82" s="11">
        <v>6</v>
      </c>
      <c r="E82" s="12">
        <v>8000000</v>
      </c>
      <c r="F82" s="12" t="s">
        <v>178</v>
      </c>
      <c r="G82" s="11"/>
    </row>
    <row r="83" spans="1:7" x14ac:dyDescent="0.3">
      <c r="A83" s="19">
        <v>44959</v>
      </c>
      <c r="B83" s="11" t="s">
        <v>177</v>
      </c>
      <c r="C83" s="11" t="s">
        <v>176</v>
      </c>
      <c r="D83" s="11">
        <v>6</v>
      </c>
      <c r="E83" s="12">
        <v>8000000</v>
      </c>
      <c r="F83" s="12" t="s">
        <v>178</v>
      </c>
      <c r="G83" s="11"/>
    </row>
    <row r="84" spans="1:7" x14ac:dyDescent="0.3">
      <c r="A84" s="19">
        <v>44959</v>
      </c>
      <c r="B84" s="11" t="s">
        <v>177</v>
      </c>
      <c r="C84" s="11" t="s">
        <v>176</v>
      </c>
      <c r="D84" s="11">
        <v>6</v>
      </c>
      <c r="E84" s="12">
        <v>8000000</v>
      </c>
      <c r="F84" s="12" t="s">
        <v>178</v>
      </c>
      <c r="G84" s="11"/>
    </row>
    <row r="85" spans="1:7" x14ac:dyDescent="0.3">
      <c r="A85" s="19">
        <v>44959</v>
      </c>
      <c r="B85" s="11" t="s">
        <v>177</v>
      </c>
      <c r="C85" s="11" t="s">
        <v>176</v>
      </c>
      <c r="D85" s="11">
        <v>6</v>
      </c>
      <c r="E85" s="12">
        <v>8000000</v>
      </c>
      <c r="F85" s="12" t="s">
        <v>178</v>
      </c>
      <c r="G85" s="11"/>
    </row>
    <row r="86" spans="1:7" x14ac:dyDescent="0.3">
      <c r="A86" s="19">
        <v>44959</v>
      </c>
      <c r="B86" s="11" t="s">
        <v>177</v>
      </c>
      <c r="C86" s="11" t="s">
        <v>176</v>
      </c>
      <c r="D86" s="11">
        <v>6</v>
      </c>
      <c r="E86" s="12">
        <v>8000000</v>
      </c>
      <c r="F86" s="12" t="s">
        <v>178</v>
      </c>
      <c r="G86" s="11"/>
    </row>
    <row r="87" spans="1:7" x14ac:dyDescent="0.3">
      <c r="A87" s="19">
        <v>44959</v>
      </c>
      <c r="B87" s="11" t="s">
        <v>177</v>
      </c>
      <c r="C87" s="11" t="s">
        <v>176</v>
      </c>
      <c r="D87" s="11">
        <v>6</v>
      </c>
      <c r="E87" s="12">
        <v>8000000</v>
      </c>
      <c r="F87" s="12" t="s">
        <v>178</v>
      </c>
      <c r="G87" s="11"/>
    </row>
    <row r="88" spans="1:7" x14ac:dyDescent="0.3">
      <c r="A88" s="19">
        <v>44959</v>
      </c>
      <c r="B88" s="11" t="s">
        <v>177</v>
      </c>
      <c r="C88" s="11" t="s">
        <v>176</v>
      </c>
      <c r="D88" s="11">
        <v>6</v>
      </c>
      <c r="E88" s="12">
        <v>8000000</v>
      </c>
      <c r="F88" s="12" t="s">
        <v>178</v>
      </c>
      <c r="G88" s="11"/>
    </row>
    <row r="89" spans="1:7" x14ac:dyDescent="0.3">
      <c r="A89" s="19">
        <v>44959</v>
      </c>
      <c r="B89" s="11" t="s">
        <v>177</v>
      </c>
      <c r="C89" s="11" t="s">
        <v>176</v>
      </c>
      <c r="D89" s="11">
        <v>6</v>
      </c>
      <c r="E89" s="12">
        <v>8000000</v>
      </c>
      <c r="F89" s="12" t="s">
        <v>178</v>
      </c>
      <c r="G89" s="11"/>
    </row>
    <row r="90" spans="1:7" x14ac:dyDescent="0.3">
      <c r="A90" s="19">
        <v>44959</v>
      </c>
      <c r="B90" s="11" t="s">
        <v>177</v>
      </c>
      <c r="C90" s="11" t="s">
        <v>176</v>
      </c>
      <c r="D90" s="11">
        <v>6</v>
      </c>
      <c r="E90" s="12">
        <v>8000000</v>
      </c>
      <c r="F90" s="12" t="s">
        <v>178</v>
      </c>
      <c r="G90" s="11"/>
    </row>
    <row r="91" spans="1:7" x14ac:dyDescent="0.3">
      <c r="A91" s="19">
        <v>44959</v>
      </c>
      <c r="B91" s="11" t="s">
        <v>177</v>
      </c>
      <c r="C91" s="11" t="s">
        <v>176</v>
      </c>
      <c r="D91" s="11">
        <v>6</v>
      </c>
      <c r="E91" s="12">
        <v>8000000</v>
      </c>
      <c r="F91" s="12" t="s">
        <v>178</v>
      </c>
      <c r="G91" s="11"/>
    </row>
    <row r="92" spans="1:7" x14ac:dyDescent="0.3">
      <c r="A92" s="19">
        <v>44959</v>
      </c>
      <c r="B92" s="11" t="s">
        <v>177</v>
      </c>
      <c r="C92" s="11" t="s">
        <v>176</v>
      </c>
      <c r="D92" s="11">
        <v>6</v>
      </c>
      <c r="E92" s="12">
        <v>8000000</v>
      </c>
      <c r="F92" s="12" t="s">
        <v>178</v>
      </c>
      <c r="G92" s="11"/>
    </row>
    <row r="93" spans="1:7" x14ac:dyDescent="0.3">
      <c r="A93" s="19">
        <v>44959</v>
      </c>
      <c r="B93" s="11" t="s">
        <v>177</v>
      </c>
      <c r="C93" s="11" t="s">
        <v>176</v>
      </c>
      <c r="D93" s="11">
        <v>6</v>
      </c>
      <c r="E93" s="12">
        <v>8000000</v>
      </c>
      <c r="F93" s="12" t="s">
        <v>178</v>
      </c>
      <c r="G93" s="11"/>
    </row>
    <row r="94" spans="1:7" x14ac:dyDescent="0.3">
      <c r="A94" s="19">
        <v>44959</v>
      </c>
      <c r="B94" s="11" t="s">
        <v>177</v>
      </c>
      <c r="C94" s="11" t="s">
        <v>176</v>
      </c>
      <c r="D94" s="11">
        <v>6</v>
      </c>
      <c r="E94" s="12">
        <v>8000000</v>
      </c>
      <c r="F94" s="12" t="s">
        <v>178</v>
      </c>
      <c r="G94" s="11"/>
    </row>
    <row r="95" spans="1:7" x14ac:dyDescent="0.3">
      <c r="A95" s="19">
        <v>44959</v>
      </c>
      <c r="B95" s="11" t="s">
        <v>177</v>
      </c>
      <c r="C95" s="11" t="s">
        <v>176</v>
      </c>
      <c r="D95" s="11">
        <v>6</v>
      </c>
      <c r="E95" s="12">
        <v>8000000</v>
      </c>
      <c r="F95" s="12" t="s">
        <v>178</v>
      </c>
      <c r="G95" s="11"/>
    </row>
    <row r="96" spans="1:7" x14ac:dyDescent="0.3">
      <c r="A96" s="19">
        <v>44959</v>
      </c>
      <c r="B96" s="11" t="s">
        <v>177</v>
      </c>
      <c r="C96" s="11" t="s">
        <v>176</v>
      </c>
      <c r="D96" s="11">
        <v>6</v>
      </c>
      <c r="E96" s="12">
        <v>8000000</v>
      </c>
      <c r="F96" s="12" t="s">
        <v>178</v>
      </c>
      <c r="G96" s="11"/>
    </row>
    <row r="97" spans="1:7" x14ac:dyDescent="0.3">
      <c r="A97" s="19">
        <v>44959</v>
      </c>
      <c r="B97" s="11" t="s">
        <v>177</v>
      </c>
      <c r="C97" s="11" t="s">
        <v>176</v>
      </c>
      <c r="D97" s="11">
        <v>6</v>
      </c>
      <c r="E97" s="12">
        <v>8000000</v>
      </c>
      <c r="F97" s="12" t="s">
        <v>178</v>
      </c>
      <c r="G97" s="11"/>
    </row>
    <row r="98" spans="1:7" x14ac:dyDescent="0.3">
      <c r="A98" s="19">
        <v>44959</v>
      </c>
      <c r="B98" s="11" t="s">
        <v>177</v>
      </c>
      <c r="C98" s="11" t="s">
        <v>176</v>
      </c>
      <c r="D98" s="11">
        <v>6</v>
      </c>
      <c r="E98" s="12">
        <v>8000000</v>
      </c>
      <c r="F98" s="12" t="s">
        <v>178</v>
      </c>
      <c r="G98" s="11"/>
    </row>
    <row r="99" spans="1:7" x14ac:dyDescent="0.3">
      <c r="A99" s="19">
        <v>44959</v>
      </c>
      <c r="B99" s="11" t="s">
        <v>177</v>
      </c>
      <c r="C99" s="11" t="s">
        <v>176</v>
      </c>
      <c r="D99" s="11">
        <v>6</v>
      </c>
      <c r="E99" s="12">
        <v>8000000</v>
      </c>
      <c r="F99" s="12" t="s">
        <v>178</v>
      </c>
      <c r="G99" s="11"/>
    </row>
    <row r="100" spans="1:7" x14ac:dyDescent="0.3">
      <c r="A100" s="19">
        <v>44959</v>
      </c>
      <c r="B100" s="11" t="s">
        <v>177</v>
      </c>
      <c r="C100" s="11" t="s">
        <v>176</v>
      </c>
      <c r="D100" s="11">
        <v>6</v>
      </c>
      <c r="E100" s="12">
        <v>8000000</v>
      </c>
      <c r="F100" s="12" t="s">
        <v>178</v>
      </c>
      <c r="G100" s="11"/>
    </row>
    <row r="101" spans="1:7" x14ac:dyDescent="0.3">
      <c r="A101" s="19">
        <v>44959</v>
      </c>
      <c r="B101" s="11" t="s">
        <v>177</v>
      </c>
      <c r="C101" s="11" t="s">
        <v>176</v>
      </c>
      <c r="D101" s="11">
        <v>6</v>
      </c>
      <c r="E101" s="12">
        <v>8000000</v>
      </c>
      <c r="F101" s="12" t="s">
        <v>178</v>
      </c>
      <c r="G101" s="11"/>
    </row>
    <row r="102" spans="1:7" x14ac:dyDescent="0.3">
      <c r="A102" s="19">
        <v>44959</v>
      </c>
      <c r="B102" s="11" t="s">
        <v>177</v>
      </c>
      <c r="C102" s="11" t="s">
        <v>176</v>
      </c>
      <c r="D102" s="11">
        <v>6</v>
      </c>
      <c r="E102" s="12">
        <v>8000000</v>
      </c>
      <c r="F102" s="12" t="s">
        <v>178</v>
      </c>
      <c r="G102" s="11"/>
    </row>
    <row r="103" spans="1:7" x14ac:dyDescent="0.3">
      <c r="A103" s="19">
        <v>44959</v>
      </c>
      <c r="B103" s="11" t="s">
        <v>177</v>
      </c>
      <c r="C103" s="11" t="s">
        <v>176</v>
      </c>
      <c r="D103" s="11">
        <v>6</v>
      </c>
      <c r="E103" s="12">
        <v>8000000</v>
      </c>
      <c r="F103" s="12" t="s">
        <v>178</v>
      </c>
      <c r="G103" s="11"/>
    </row>
    <row r="104" spans="1:7" x14ac:dyDescent="0.3">
      <c r="A104" s="19">
        <v>44959</v>
      </c>
      <c r="B104" s="11" t="s">
        <v>177</v>
      </c>
      <c r="C104" s="11" t="s">
        <v>176</v>
      </c>
      <c r="D104" s="11">
        <v>6</v>
      </c>
      <c r="E104" s="12">
        <v>8000000</v>
      </c>
      <c r="F104" s="12" t="s">
        <v>178</v>
      </c>
      <c r="G104" s="11"/>
    </row>
    <row r="105" spans="1:7" x14ac:dyDescent="0.3">
      <c r="A105" s="19">
        <v>44959</v>
      </c>
      <c r="B105" s="11" t="s">
        <v>177</v>
      </c>
      <c r="C105" s="11" t="s">
        <v>176</v>
      </c>
      <c r="D105" s="11">
        <v>6</v>
      </c>
      <c r="E105" s="12">
        <v>8000000</v>
      </c>
      <c r="F105" s="12" t="s">
        <v>178</v>
      </c>
      <c r="G105" s="11"/>
    </row>
    <row r="106" spans="1:7" x14ac:dyDescent="0.3">
      <c r="A106" s="19">
        <v>44959</v>
      </c>
      <c r="B106" s="11" t="s">
        <v>177</v>
      </c>
      <c r="C106" s="11" t="s">
        <v>176</v>
      </c>
      <c r="D106" s="11">
        <v>6</v>
      </c>
      <c r="E106" s="12">
        <v>8000000</v>
      </c>
      <c r="F106" s="12" t="s">
        <v>178</v>
      </c>
      <c r="G106" s="11"/>
    </row>
    <row r="107" spans="1:7" x14ac:dyDescent="0.3">
      <c r="A107" s="19">
        <v>44959</v>
      </c>
      <c r="B107" s="11" t="s">
        <v>177</v>
      </c>
      <c r="C107" s="11" t="s">
        <v>176</v>
      </c>
      <c r="D107" s="11">
        <v>6</v>
      </c>
      <c r="E107" s="12">
        <v>8000000</v>
      </c>
      <c r="F107" s="12" t="s">
        <v>178</v>
      </c>
      <c r="G107" s="11"/>
    </row>
    <row r="108" spans="1:7" x14ac:dyDescent="0.3">
      <c r="A108" s="19">
        <v>44959</v>
      </c>
      <c r="B108" s="11" t="s">
        <v>177</v>
      </c>
      <c r="C108" s="11" t="s">
        <v>176</v>
      </c>
      <c r="D108" s="11">
        <v>6</v>
      </c>
      <c r="E108" s="12">
        <v>8000000</v>
      </c>
      <c r="F108" s="12" t="s">
        <v>178</v>
      </c>
      <c r="G108" s="11"/>
    </row>
    <row r="109" spans="1:7" x14ac:dyDescent="0.3">
      <c r="A109" s="19">
        <v>44959</v>
      </c>
      <c r="B109" s="11" t="s">
        <v>177</v>
      </c>
      <c r="C109" s="11" t="s">
        <v>176</v>
      </c>
      <c r="D109" s="11">
        <v>6</v>
      </c>
      <c r="E109" s="12">
        <v>8000000</v>
      </c>
      <c r="F109" s="12" t="s">
        <v>178</v>
      </c>
      <c r="G109" s="11"/>
    </row>
    <row r="110" spans="1:7" x14ac:dyDescent="0.3">
      <c r="A110" s="19">
        <v>44959</v>
      </c>
      <c r="B110" s="11" t="s">
        <v>177</v>
      </c>
      <c r="C110" s="11" t="s">
        <v>176</v>
      </c>
      <c r="D110" s="11">
        <v>6</v>
      </c>
      <c r="E110" s="12">
        <v>8000000</v>
      </c>
      <c r="F110" s="12" t="s">
        <v>178</v>
      </c>
      <c r="G110" s="11"/>
    </row>
    <row r="111" spans="1:7" x14ac:dyDescent="0.3">
      <c r="A111" s="19">
        <v>44959</v>
      </c>
      <c r="B111" s="11" t="s">
        <v>177</v>
      </c>
      <c r="C111" s="11" t="s">
        <v>176</v>
      </c>
      <c r="D111" s="11">
        <v>6</v>
      </c>
      <c r="E111" s="12">
        <v>8000000</v>
      </c>
      <c r="F111" s="12" t="s">
        <v>178</v>
      </c>
      <c r="G111" s="11"/>
    </row>
    <row r="112" spans="1:7" x14ac:dyDescent="0.3">
      <c r="A112" s="19">
        <v>44959</v>
      </c>
      <c r="B112" s="11" t="s">
        <v>177</v>
      </c>
      <c r="C112" s="11" t="s">
        <v>176</v>
      </c>
      <c r="D112" s="11">
        <v>6</v>
      </c>
      <c r="E112" s="12">
        <v>8000000</v>
      </c>
      <c r="F112" s="12" t="s">
        <v>178</v>
      </c>
      <c r="G112" s="11"/>
    </row>
    <row r="113" spans="1:7" x14ac:dyDescent="0.3">
      <c r="A113" s="19">
        <v>44959</v>
      </c>
      <c r="B113" s="11" t="s">
        <v>177</v>
      </c>
      <c r="C113" s="11" t="s">
        <v>176</v>
      </c>
      <c r="D113" s="11">
        <v>6</v>
      </c>
      <c r="E113" s="12">
        <v>8000000</v>
      </c>
      <c r="F113" s="12" t="s">
        <v>178</v>
      </c>
      <c r="G113" s="11"/>
    </row>
    <row r="114" spans="1:7" x14ac:dyDescent="0.3">
      <c r="A114" s="19">
        <v>44959</v>
      </c>
      <c r="B114" s="11" t="s">
        <v>177</v>
      </c>
      <c r="C114" s="11" t="s">
        <v>176</v>
      </c>
      <c r="D114" s="11">
        <v>6</v>
      </c>
      <c r="E114" s="12">
        <v>8000000</v>
      </c>
      <c r="F114" s="12" t="s">
        <v>178</v>
      </c>
      <c r="G114" s="11"/>
    </row>
    <row r="115" spans="1:7" x14ac:dyDescent="0.3">
      <c r="A115" s="19">
        <v>44959</v>
      </c>
      <c r="B115" s="11" t="s">
        <v>177</v>
      </c>
      <c r="C115" s="11" t="s">
        <v>176</v>
      </c>
      <c r="D115" s="11">
        <v>6</v>
      </c>
      <c r="E115" s="12">
        <v>8000000</v>
      </c>
      <c r="F115" s="12" t="s">
        <v>178</v>
      </c>
      <c r="G115" s="11"/>
    </row>
    <row r="116" spans="1:7" x14ac:dyDescent="0.3">
      <c r="A116" s="19">
        <v>44959</v>
      </c>
      <c r="B116" s="11" t="s">
        <v>177</v>
      </c>
      <c r="C116" s="11" t="s">
        <v>176</v>
      </c>
      <c r="D116" s="11">
        <v>6</v>
      </c>
      <c r="E116" s="12">
        <v>8000000</v>
      </c>
      <c r="F116" s="12" t="s">
        <v>178</v>
      </c>
      <c r="G116" s="11"/>
    </row>
    <row r="117" spans="1:7" x14ac:dyDescent="0.3">
      <c r="A117" s="19">
        <v>44959</v>
      </c>
      <c r="B117" s="11" t="s">
        <v>177</v>
      </c>
      <c r="C117" s="11" t="s">
        <v>176</v>
      </c>
      <c r="D117" s="11">
        <v>6</v>
      </c>
      <c r="E117" s="12">
        <v>8000000</v>
      </c>
      <c r="F117" s="12" t="s">
        <v>178</v>
      </c>
      <c r="G117" s="11"/>
    </row>
    <row r="118" spans="1:7" x14ac:dyDescent="0.3">
      <c r="A118" s="19">
        <v>44959</v>
      </c>
      <c r="B118" s="11" t="s">
        <v>177</v>
      </c>
      <c r="C118" s="11" t="s">
        <v>176</v>
      </c>
      <c r="D118" s="11">
        <v>6</v>
      </c>
      <c r="E118" s="12">
        <v>8000000</v>
      </c>
      <c r="F118" s="12" t="s">
        <v>178</v>
      </c>
      <c r="G118" s="11"/>
    </row>
    <row r="119" spans="1:7" x14ac:dyDescent="0.3">
      <c r="A119" s="19">
        <v>44959</v>
      </c>
      <c r="B119" s="11" t="s">
        <v>177</v>
      </c>
      <c r="C119" s="11" t="s">
        <v>176</v>
      </c>
      <c r="D119" s="11">
        <v>6</v>
      </c>
      <c r="E119" s="12">
        <v>8000000</v>
      </c>
      <c r="F119" s="12" t="s">
        <v>178</v>
      </c>
      <c r="G119" s="11"/>
    </row>
    <row r="120" spans="1:7" x14ac:dyDescent="0.3">
      <c r="A120" s="19">
        <v>44959</v>
      </c>
      <c r="B120" s="11" t="s">
        <v>177</v>
      </c>
      <c r="C120" s="11" t="s">
        <v>176</v>
      </c>
      <c r="D120" s="11">
        <v>6</v>
      </c>
      <c r="E120" s="12">
        <v>8000000</v>
      </c>
      <c r="F120" s="12" t="s">
        <v>178</v>
      </c>
      <c r="G120" s="11"/>
    </row>
    <row r="121" spans="1:7" x14ac:dyDescent="0.3">
      <c r="A121" s="19">
        <v>44959</v>
      </c>
      <c r="B121" s="11" t="s">
        <v>177</v>
      </c>
      <c r="C121" s="11" t="s">
        <v>176</v>
      </c>
      <c r="D121" s="11">
        <v>6</v>
      </c>
      <c r="E121" s="12">
        <v>8000000</v>
      </c>
      <c r="F121" s="12" t="s">
        <v>178</v>
      </c>
      <c r="G121" s="11"/>
    </row>
    <row r="122" spans="1:7" x14ac:dyDescent="0.3">
      <c r="A122" s="19">
        <v>44959</v>
      </c>
      <c r="B122" s="11" t="s">
        <v>177</v>
      </c>
      <c r="C122" s="11" t="s">
        <v>176</v>
      </c>
      <c r="D122" s="11">
        <v>6</v>
      </c>
      <c r="E122" s="12">
        <v>8000000</v>
      </c>
      <c r="F122" s="12" t="s">
        <v>178</v>
      </c>
      <c r="G122" s="11"/>
    </row>
    <row r="123" spans="1:7" x14ac:dyDescent="0.3">
      <c r="A123" s="19">
        <v>44959</v>
      </c>
      <c r="B123" s="11" t="s">
        <v>177</v>
      </c>
      <c r="C123" s="11" t="s">
        <v>176</v>
      </c>
      <c r="D123" s="11">
        <v>6</v>
      </c>
      <c r="E123" s="12">
        <v>8000000</v>
      </c>
      <c r="F123" s="12" t="s">
        <v>178</v>
      </c>
      <c r="G123" s="11"/>
    </row>
    <row r="124" spans="1:7" x14ac:dyDescent="0.3">
      <c r="A124" s="19">
        <v>44959</v>
      </c>
      <c r="B124" s="11" t="s">
        <v>177</v>
      </c>
      <c r="C124" s="11" t="s">
        <v>176</v>
      </c>
      <c r="D124" s="11">
        <v>6</v>
      </c>
      <c r="E124" s="12">
        <v>8000000</v>
      </c>
      <c r="F124" s="12" t="s">
        <v>178</v>
      </c>
      <c r="G124" s="11"/>
    </row>
    <row r="125" spans="1:7" x14ac:dyDescent="0.3">
      <c r="A125" s="19">
        <v>44959</v>
      </c>
      <c r="B125" s="11" t="s">
        <v>177</v>
      </c>
      <c r="C125" s="11" t="s">
        <v>176</v>
      </c>
      <c r="D125" s="11">
        <v>6</v>
      </c>
      <c r="E125" s="12">
        <v>8000000</v>
      </c>
      <c r="F125" s="12" t="s">
        <v>178</v>
      </c>
      <c r="G125" s="11"/>
    </row>
    <row r="126" spans="1:7" x14ac:dyDescent="0.3">
      <c r="A126" s="19">
        <v>44959</v>
      </c>
      <c r="B126" s="11" t="s">
        <v>177</v>
      </c>
      <c r="C126" s="11" t="s">
        <v>176</v>
      </c>
      <c r="D126" s="11">
        <v>6</v>
      </c>
      <c r="E126" s="12">
        <v>8000000</v>
      </c>
      <c r="F126" s="12" t="s">
        <v>178</v>
      </c>
      <c r="G126" s="11"/>
    </row>
    <row r="127" spans="1:7" x14ac:dyDescent="0.3">
      <c r="A127" s="19">
        <v>44959</v>
      </c>
      <c r="B127" s="11" t="s">
        <v>177</v>
      </c>
      <c r="C127" s="11" t="s">
        <v>176</v>
      </c>
      <c r="D127" s="11">
        <v>6</v>
      </c>
      <c r="E127" s="12">
        <v>8000000</v>
      </c>
      <c r="F127" s="12" t="s">
        <v>178</v>
      </c>
      <c r="G127" s="11"/>
    </row>
    <row r="128" spans="1:7" x14ac:dyDescent="0.3">
      <c r="A128" s="19">
        <v>44959</v>
      </c>
      <c r="B128" s="11" t="s">
        <v>177</v>
      </c>
      <c r="C128" s="11" t="s">
        <v>176</v>
      </c>
      <c r="D128" s="11">
        <v>6</v>
      </c>
      <c r="E128" s="12">
        <v>8000000</v>
      </c>
      <c r="F128" s="12" t="s">
        <v>178</v>
      </c>
      <c r="G128" s="11"/>
    </row>
    <row r="129" spans="1:7" x14ac:dyDescent="0.3">
      <c r="A129" s="19">
        <v>44959</v>
      </c>
      <c r="B129" s="11" t="s">
        <v>177</v>
      </c>
      <c r="C129" s="11" t="s">
        <v>176</v>
      </c>
      <c r="D129" s="11">
        <v>6</v>
      </c>
      <c r="E129" s="12">
        <v>8000000</v>
      </c>
      <c r="F129" s="12" t="s">
        <v>178</v>
      </c>
      <c r="G129" s="11"/>
    </row>
    <row r="130" spans="1:7" x14ac:dyDescent="0.3">
      <c r="A130" s="19">
        <v>44959</v>
      </c>
      <c r="B130" s="11" t="s">
        <v>177</v>
      </c>
      <c r="C130" s="11" t="s">
        <v>176</v>
      </c>
      <c r="D130" s="11">
        <v>6</v>
      </c>
      <c r="E130" s="12">
        <v>8000000</v>
      </c>
      <c r="F130" s="12" t="s">
        <v>178</v>
      </c>
      <c r="G130" s="11"/>
    </row>
    <row r="131" spans="1:7" x14ac:dyDescent="0.3">
      <c r="A131" s="19">
        <v>44959</v>
      </c>
      <c r="B131" s="11" t="s">
        <v>177</v>
      </c>
      <c r="C131" s="11" t="s">
        <v>176</v>
      </c>
      <c r="D131" s="11">
        <v>6</v>
      </c>
      <c r="E131" s="12">
        <v>8000000</v>
      </c>
      <c r="F131" s="12" t="s">
        <v>178</v>
      </c>
      <c r="G131" s="11"/>
    </row>
    <row r="132" spans="1:7" x14ac:dyDescent="0.3">
      <c r="A132" s="19">
        <v>44959</v>
      </c>
      <c r="B132" s="11" t="s">
        <v>177</v>
      </c>
      <c r="C132" s="11" t="s">
        <v>176</v>
      </c>
      <c r="D132" s="11">
        <v>6</v>
      </c>
      <c r="E132" s="12">
        <v>8000000</v>
      </c>
      <c r="F132" s="12" t="s">
        <v>178</v>
      </c>
      <c r="G132" s="11"/>
    </row>
    <row r="133" spans="1:7" x14ac:dyDescent="0.3">
      <c r="A133" s="19">
        <v>44959</v>
      </c>
      <c r="B133" s="11" t="s">
        <v>177</v>
      </c>
      <c r="C133" s="11" t="s">
        <v>176</v>
      </c>
      <c r="D133" s="11">
        <v>6</v>
      </c>
      <c r="E133" s="12">
        <v>8000000</v>
      </c>
      <c r="F133" s="12" t="s">
        <v>178</v>
      </c>
      <c r="G133" s="11"/>
    </row>
    <row r="134" spans="1:7" x14ac:dyDescent="0.3">
      <c r="A134" s="19">
        <v>44959</v>
      </c>
      <c r="B134" s="11" t="s">
        <v>177</v>
      </c>
      <c r="C134" s="11" t="s">
        <v>176</v>
      </c>
      <c r="D134" s="11">
        <v>6</v>
      </c>
      <c r="E134" s="12">
        <v>8000000</v>
      </c>
      <c r="F134" s="12" t="s">
        <v>178</v>
      </c>
      <c r="G134" s="11"/>
    </row>
    <row r="135" spans="1:7" x14ac:dyDescent="0.3">
      <c r="A135" s="19">
        <v>44959</v>
      </c>
      <c r="B135" s="11" t="s">
        <v>177</v>
      </c>
      <c r="C135" s="11" t="s">
        <v>176</v>
      </c>
      <c r="D135" s="11">
        <v>6</v>
      </c>
      <c r="E135" s="12">
        <v>8000000</v>
      </c>
      <c r="F135" s="12" t="s">
        <v>178</v>
      </c>
      <c r="G135" s="11"/>
    </row>
    <row r="136" spans="1:7" x14ac:dyDescent="0.3">
      <c r="A136" s="19">
        <v>44959</v>
      </c>
      <c r="B136" s="11" t="s">
        <v>177</v>
      </c>
      <c r="C136" s="11" t="s">
        <v>176</v>
      </c>
      <c r="D136" s="11">
        <v>6</v>
      </c>
      <c r="E136" s="12">
        <v>8000000</v>
      </c>
      <c r="F136" s="12" t="s">
        <v>178</v>
      </c>
      <c r="G136" s="11"/>
    </row>
    <row r="137" spans="1:7" x14ac:dyDescent="0.3">
      <c r="A137" s="19">
        <v>44959</v>
      </c>
      <c r="B137" s="11" t="s">
        <v>177</v>
      </c>
      <c r="C137" s="11" t="s">
        <v>176</v>
      </c>
      <c r="D137" s="11">
        <v>6</v>
      </c>
      <c r="E137" s="12">
        <v>8000000</v>
      </c>
      <c r="F137" s="12" t="s">
        <v>178</v>
      </c>
      <c r="G137" s="11"/>
    </row>
    <row r="138" spans="1:7" x14ac:dyDescent="0.3">
      <c r="A138" s="19">
        <v>44959</v>
      </c>
      <c r="B138" s="11" t="s">
        <v>177</v>
      </c>
      <c r="C138" s="11" t="s">
        <v>176</v>
      </c>
      <c r="D138" s="11">
        <v>6</v>
      </c>
      <c r="E138" s="12">
        <v>8000000</v>
      </c>
      <c r="F138" s="12" t="s">
        <v>178</v>
      </c>
      <c r="G138" s="11"/>
    </row>
    <row r="139" spans="1:7" x14ac:dyDescent="0.3">
      <c r="A139" s="19">
        <v>44959</v>
      </c>
      <c r="B139" s="11" t="s">
        <v>177</v>
      </c>
      <c r="C139" s="11" t="s">
        <v>176</v>
      </c>
      <c r="D139" s="11">
        <v>6</v>
      </c>
      <c r="E139" s="12">
        <v>8000000</v>
      </c>
      <c r="F139" s="12" t="s">
        <v>178</v>
      </c>
      <c r="G139" s="11"/>
    </row>
    <row r="140" spans="1:7" x14ac:dyDescent="0.3">
      <c r="A140" s="19">
        <v>44959</v>
      </c>
      <c r="B140" s="11" t="s">
        <v>177</v>
      </c>
      <c r="C140" s="11" t="s">
        <v>176</v>
      </c>
      <c r="D140" s="11">
        <v>6</v>
      </c>
      <c r="E140" s="12">
        <v>8000000</v>
      </c>
      <c r="F140" s="12" t="s">
        <v>178</v>
      </c>
      <c r="G140" s="11"/>
    </row>
    <row r="141" spans="1:7" x14ac:dyDescent="0.3">
      <c r="A141" s="19">
        <v>44959</v>
      </c>
      <c r="B141" s="11" t="s">
        <v>177</v>
      </c>
      <c r="C141" s="11" t="s">
        <v>176</v>
      </c>
      <c r="D141" s="11">
        <v>6</v>
      </c>
      <c r="E141" s="12">
        <v>8000000</v>
      </c>
      <c r="F141" s="12" t="s">
        <v>178</v>
      </c>
      <c r="G141" s="11"/>
    </row>
    <row r="142" spans="1:7" x14ac:dyDescent="0.3">
      <c r="A142" s="19">
        <v>44959</v>
      </c>
      <c r="B142" s="11" t="s">
        <v>177</v>
      </c>
      <c r="C142" s="11" t="s">
        <v>176</v>
      </c>
      <c r="D142" s="11">
        <v>6</v>
      </c>
      <c r="E142" s="12">
        <v>8000000</v>
      </c>
      <c r="F142" s="12" t="s">
        <v>178</v>
      </c>
      <c r="G142" s="11"/>
    </row>
    <row r="143" spans="1:7" x14ac:dyDescent="0.3">
      <c r="A143" s="19">
        <v>44959</v>
      </c>
      <c r="B143" s="11" t="s">
        <v>177</v>
      </c>
      <c r="C143" s="11" t="s">
        <v>176</v>
      </c>
      <c r="D143" s="11">
        <v>6</v>
      </c>
      <c r="E143" s="12">
        <v>8000000</v>
      </c>
      <c r="F143" s="12" t="s">
        <v>178</v>
      </c>
      <c r="G143" s="11"/>
    </row>
    <row r="144" spans="1:7" x14ac:dyDescent="0.3">
      <c r="A144" s="19">
        <v>44959</v>
      </c>
      <c r="B144" s="11" t="s">
        <v>177</v>
      </c>
      <c r="C144" s="11" t="s">
        <v>176</v>
      </c>
      <c r="D144" s="11">
        <v>6</v>
      </c>
      <c r="E144" s="12">
        <v>8000000</v>
      </c>
      <c r="F144" s="12" t="s">
        <v>178</v>
      </c>
      <c r="G144" s="11"/>
    </row>
    <row r="145" spans="1:7" x14ac:dyDescent="0.3">
      <c r="A145" s="19">
        <v>44959</v>
      </c>
      <c r="B145" s="11" t="s">
        <v>177</v>
      </c>
      <c r="C145" s="11" t="s">
        <v>176</v>
      </c>
      <c r="D145" s="11">
        <v>6</v>
      </c>
      <c r="E145" s="12">
        <v>8000000</v>
      </c>
      <c r="F145" s="12" t="s">
        <v>178</v>
      </c>
      <c r="G145" s="11"/>
    </row>
    <row r="146" spans="1:7" x14ac:dyDescent="0.3">
      <c r="A146" s="19">
        <v>44959</v>
      </c>
      <c r="B146" s="11" t="s">
        <v>177</v>
      </c>
      <c r="C146" s="11" t="s">
        <v>176</v>
      </c>
      <c r="D146" s="11">
        <v>6</v>
      </c>
      <c r="E146" s="12">
        <v>8000000</v>
      </c>
      <c r="F146" s="12" t="s">
        <v>178</v>
      </c>
      <c r="G146" s="11"/>
    </row>
    <row r="147" spans="1:7" x14ac:dyDescent="0.3">
      <c r="A147" s="19">
        <v>44959</v>
      </c>
      <c r="B147" s="11" t="s">
        <v>177</v>
      </c>
      <c r="C147" s="11" t="s">
        <v>176</v>
      </c>
      <c r="D147" s="11">
        <v>6</v>
      </c>
      <c r="E147" s="12">
        <v>8000000</v>
      </c>
      <c r="F147" s="12" t="s">
        <v>178</v>
      </c>
      <c r="G147" s="11"/>
    </row>
    <row r="148" spans="1:7" x14ac:dyDescent="0.3">
      <c r="A148" s="19">
        <v>44959</v>
      </c>
      <c r="B148" s="11" t="s">
        <v>177</v>
      </c>
      <c r="C148" s="11" t="s">
        <v>176</v>
      </c>
      <c r="D148" s="11">
        <v>6</v>
      </c>
      <c r="E148" s="12">
        <v>8000000</v>
      </c>
      <c r="F148" s="12" t="s">
        <v>178</v>
      </c>
      <c r="G148" s="11"/>
    </row>
    <row r="149" spans="1:7" x14ac:dyDescent="0.3">
      <c r="A149" s="19">
        <v>44959</v>
      </c>
      <c r="B149" s="11" t="s">
        <v>177</v>
      </c>
      <c r="C149" s="11" t="s">
        <v>176</v>
      </c>
      <c r="D149" s="11">
        <v>6</v>
      </c>
      <c r="E149" s="12">
        <v>8000000</v>
      </c>
      <c r="F149" s="12" t="s">
        <v>178</v>
      </c>
      <c r="G149" s="11"/>
    </row>
    <row r="150" spans="1:7" x14ac:dyDescent="0.3">
      <c r="A150" s="19">
        <v>44959</v>
      </c>
      <c r="B150" s="11" t="s">
        <v>177</v>
      </c>
      <c r="C150" s="11" t="s">
        <v>176</v>
      </c>
      <c r="D150" s="11">
        <v>6</v>
      </c>
      <c r="E150" s="12">
        <v>8000000</v>
      </c>
      <c r="F150" s="12" t="s">
        <v>178</v>
      </c>
      <c r="G150" s="11"/>
    </row>
    <row r="151" spans="1:7" x14ac:dyDescent="0.3">
      <c r="A151" s="19">
        <v>44959</v>
      </c>
      <c r="B151" s="11" t="s">
        <v>177</v>
      </c>
      <c r="C151" s="11" t="s">
        <v>176</v>
      </c>
      <c r="D151" s="11">
        <v>6</v>
      </c>
      <c r="E151" s="12">
        <v>8000000</v>
      </c>
      <c r="F151" s="12" t="s">
        <v>178</v>
      </c>
      <c r="G151" s="11"/>
    </row>
    <row r="152" spans="1:7" x14ac:dyDescent="0.3">
      <c r="A152" s="19">
        <v>44959</v>
      </c>
      <c r="B152" s="11" t="s">
        <v>177</v>
      </c>
      <c r="C152" s="11" t="s">
        <v>176</v>
      </c>
      <c r="D152" s="11">
        <v>6</v>
      </c>
      <c r="E152" s="12">
        <v>8000000</v>
      </c>
      <c r="F152" s="12" t="s">
        <v>178</v>
      </c>
      <c r="G152" s="11"/>
    </row>
    <row r="153" spans="1:7" x14ac:dyDescent="0.3">
      <c r="A153" s="19">
        <v>44959</v>
      </c>
      <c r="B153" s="11" t="s">
        <v>177</v>
      </c>
      <c r="C153" s="11" t="s">
        <v>176</v>
      </c>
      <c r="D153" s="11">
        <v>6</v>
      </c>
      <c r="E153" s="12">
        <v>8000000</v>
      </c>
      <c r="F153" s="12" t="s">
        <v>178</v>
      </c>
      <c r="G153" s="11"/>
    </row>
    <row r="154" spans="1:7" x14ac:dyDescent="0.3">
      <c r="A154" s="19">
        <v>44959</v>
      </c>
      <c r="B154" s="11" t="s">
        <v>177</v>
      </c>
      <c r="C154" s="11" t="s">
        <v>176</v>
      </c>
      <c r="D154" s="11">
        <v>6</v>
      </c>
      <c r="E154" s="12">
        <v>8000000</v>
      </c>
      <c r="F154" s="12" t="s">
        <v>178</v>
      </c>
      <c r="G154" s="11"/>
    </row>
    <row r="155" spans="1:7" x14ac:dyDescent="0.3">
      <c r="A155" s="19">
        <v>44959</v>
      </c>
      <c r="B155" s="11" t="s">
        <v>177</v>
      </c>
      <c r="C155" s="11" t="s">
        <v>176</v>
      </c>
      <c r="D155" s="11">
        <v>6</v>
      </c>
      <c r="E155" s="12">
        <v>8000000</v>
      </c>
      <c r="F155" s="12" t="s">
        <v>178</v>
      </c>
      <c r="G155" s="11"/>
    </row>
    <row r="156" spans="1:7" x14ac:dyDescent="0.3">
      <c r="A156" s="19">
        <v>44959</v>
      </c>
      <c r="B156" s="11" t="s">
        <v>177</v>
      </c>
      <c r="C156" s="11" t="s">
        <v>176</v>
      </c>
      <c r="D156" s="11">
        <v>6</v>
      </c>
      <c r="E156" s="12">
        <v>8000000</v>
      </c>
      <c r="F156" s="12" t="s">
        <v>178</v>
      </c>
      <c r="G156" s="11"/>
    </row>
    <row r="157" spans="1:7" x14ac:dyDescent="0.3">
      <c r="A157" s="19">
        <v>44959</v>
      </c>
      <c r="B157" s="11" t="s">
        <v>177</v>
      </c>
      <c r="C157" s="11" t="s">
        <v>176</v>
      </c>
      <c r="D157" s="11">
        <v>6</v>
      </c>
      <c r="E157" s="12">
        <v>8000000</v>
      </c>
      <c r="F157" s="12" t="s">
        <v>178</v>
      </c>
      <c r="G157" s="11"/>
    </row>
    <row r="158" spans="1:7" x14ac:dyDescent="0.3">
      <c r="A158" s="19">
        <v>44959</v>
      </c>
      <c r="B158" s="11" t="s">
        <v>177</v>
      </c>
      <c r="C158" s="11" t="s">
        <v>176</v>
      </c>
      <c r="D158" s="11">
        <v>6</v>
      </c>
      <c r="E158" s="12">
        <v>8000000</v>
      </c>
      <c r="F158" s="12" t="s">
        <v>178</v>
      </c>
      <c r="G158" s="11"/>
    </row>
    <row r="159" spans="1:7" x14ac:dyDescent="0.3">
      <c r="A159" s="19">
        <v>44959</v>
      </c>
      <c r="B159" s="11" t="s">
        <v>177</v>
      </c>
      <c r="C159" s="11" t="s">
        <v>176</v>
      </c>
      <c r="D159" s="11">
        <v>6</v>
      </c>
      <c r="E159" s="12">
        <v>8000000</v>
      </c>
      <c r="F159" s="12" t="s">
        <v>178</v>
      </c>
      <c r="G159" s="11"/>
    </row>
    <row r="160" spans="1:7" x14ac:dyDescent="0.3">
      <c r="A160" s="19">
        <v>44959</v>
      </c>
      <c r="B160" s="11" t="s">
        <v>177</v>
      </c>
      <c r="C160" s="11" t="s">
        <v>176</v>
      </c>
      <c r="D160" s="11">
        <v>6</v>
      </c>
      <c r="E160" s="12">
        <v>8000000</v>
      </c>
      <c r="F160" s="12" t="s">
        <v>178</v>
      </c>
      <c r="G160" s="11"/>
    </row>
    <row r="161" spans="1:7" x14ac:dyDescent="0.3">
      <c r="A161" s="19">
        <v>44959</v>
      </c>
      <c r="B161" s="11" t="s">
        <v>177</v>
      </c>
      <c r="C161" s="11" t="s">
        <v>176</v>
      </c>
      <c r="D161" s="11">
        <v>6</v>
      </c>
      <c r="E161" s="12">
        <v>8000000</v>
      </c>
      <c r="F161" s="12" t="s">
        <v>178</v>
      </c>
      <c r="G161" s="11"/>
    </row>
    <row r="162" spans="1:7" x14ac:dyDescent="0.3">
      <c r="A162" s="19">
        <v>44959</v>
      </c>
      <c r="B162" s="11" t="s">
        <v>177</v>
      </c>
      <c r="C162" s="11" t="s">
        <v>176</v>
      </c>
      <c r="D162" s="11">
        <v>6</v>
      </c>
      <c r="E162" s="12">
        <v>8000000</v>
      </c>
      <c r="F162" s="12" t="s">
        <v>178</v>
      </c>
      <c r="G162" s="11"/>
    </row>
    <row r="163" spans="1:7" x14ac:dyDescent="0.3">
      <c r="A163" s="19">
        <v>44959</v>
      </c>
      <c r="B163" s="11" t="s">
        <v>177</v>
      </c>
      <c r="C163" s="11" t="s">
        <v>176</v>
      </c>
      <c r="D163" s="11">
        <v>6</v>
      </c>
      <c r="E163" s="12">
        <v>8000000</v>
      </c>
      <c r="F163" s="12" t="s">
        <v>178</v>
      </c>
      <c r="G163" s="11"/>
    </row>
    <row r="164" spans="1:7" x14ac:dyDescent="0.3">
      <c r="A164" s="19">
        <v>44959</v>
      </c>
      <c r="B164" s="11" t="s">
        <v>177</v>
      </c>
      <c r="C164" s="11" t="s">
        <v>176</v>
      </c>
      <c r="D164" s="11">
        <v>6</v>
      </c>
      <c r="E164" s="12">
        <v>8000000</v>
      </c>
      <c r="F164" s="12" t="s">
        <v>178</v>
      </c>
      <c r="G164" s="11"/>
    </row>
    <row r="165" spans="1:7" x14ac:dyDescent="0.3">
      <c r="A165" s="19">
        <v>44959</v>
      </c>
      <c r="B165" s="11" t="s">
        <v>177</v>
      </c>
      <c r="C165" s="11" t="s">
        <v>176</v>
      </c>
      <c r="D165" s="11">
        <v>6</v>
      </c>
      <c r="E165" s="12">
        <v>8000000</v>
      </c>
      <c r="F165" s="12" t="s">
        <v>178</v>
      </c>
      <c r="G165" s="11"/>
    </row>
    <row r="166" spans="1:7" x14ac:dyDescent="0.3">
      <c r="A166" s="19">
        <v>44959</v>
      </c>
      <c r="B166" s="11" t="s">
        <v>177</v>
      </c>
      <c r="C166" s="11" t="s">
        <v>176</v>
      </c>
      <c r="D166" s="11">
        <v>6</v>
      </c>
      <c r="E166" s="12">
        <v>8000000</v>
      </c>
      <c r="F166" s="12" t="s">
        <v>178</v>
      </c>
      <c r="G166" s="11"/>
    </row>
    <row r="167" spans="1:7" x14ac:dyDescent="0.3">
      <c r="A167" s="19">
        <v>44959</v>
      </c>
      <c r="B167" s="11" t="s">
        <v>177</v>
      </c>
      <c r="C167" s="11" t="s">
        <v>176</v>
      </c>
      <c r="D167" s="11">
        <v>6</v>
      </c>
      <c r="E167" s="12">
        <v>8000000</v>
      </c>
      <c r="F167" s="12" t="s">
        <v>178</v>
      </c>
      <c r="G167" s="11"/>
    </row>
    <row r="168" spans="1:7" x14ac:dyDescent="0.3">
      <c r="A168" s="22"/>
      <c r="B168" s="9"/>
      <c r="C168" s="9"/>
      <c r="D168" s="9"/>
      <c r="E168" s="10"/>
      <c r="F168" s="10"/>
      <c r="G168" s="9"/>
    </row>
  </sheetData>
  <conditionalFormatting sqref="A1:G168">
    <cfRule type="expression" dxfId="3" priority="1">
      <formula>$G1&lt;&gt;""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Data!$G$46:$G$48</xm:f>
          </x14:formula1>
          <xm:sqref>F1:F167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415"/>
  <sheetViews>
    <sheetView topLeftCell="O1" workbookViewId="0">
      <selection activeCell="AL10" sqref="R8:AL10"/>
    </sheetView>
  </sheetViews>
  <sheetFormatPr defaultColWidth="8.88671875" defaultRowHeight="14.4" x14ac:dyDescent="0.3"/>
  <cols>
    <col min="1" max="1" width="11.109375" style="50" customWidth="1"/>
    <col min="2" max="2" width="11.109375" customWidth="1"/>
    <col min="3" max="4" width="8.88671875" customWidth="1"/>
    <col min="5" max="5" width="14.5546875" style="8" customWidth="1"/>
    <col min="6" max="6" width="12.5546875" customWidth="1"/>
    <col min="7" max="7" width="11.5546875" style="7" customWidth="1"/>
    <col min="8" max="8" width="12.88671875" customWidth="1"/>
    <col min="9" max="9" width="12.5546875" customWidth="1"/>
    <col min="10" max="10" width="26.5546875" customWidth="1"/>
    <col min="11" max="11" width="25.44140625" customWidth="1"/>
    <col min="12" max="12" width="7.88671875" customWidth="1"/>
    <col min="13" max="13" width="11" customWidth="1"/>
    <col min="14" max="14" width="13.5546875" customWidth="1"/>
    <col min="15" max="15" width="12.5546875" customWidth="1"/>
    <col min="16" max="16" width="8.88671875" customWidth="1"/>
    <col min="17" max="17" width="14" style="7" customWidth="1"/>
    <col min="18" max="18" width="10.88671875" bestFit="1" customWidth="1"/>
    <col min="19" max="19" width="8.21875" bestFit="1" customWidth="1"/>
    <col min="20" max="20" width="11.6640625" customWidth="1"/>
    <col min="21" max="21" width="8.21875" customWidth="1"/>
    <col min="22" max="22" width="11.6640625" bestFit="1" customWidth="1"/>
    <col min="23" max="23" width="13.88671875" bestFit="1" customWidth="1"/>
    <col min="24" max="24" width="10" bestFit="1" customWidth="1"/>
    <col min="25" max="25" width="16.21875" style="50" bestFit="1" customWidth="1"/>
    <col min="26" max="28" width="17.21875" style="50" hidden="1" customWidth="1"/>
    <col min="29" max="29" width="9" hidden="1" customWidth="1"/>
    <col min="30" max="30" width="12.5546875" hidden="1" customWidth="1"/>
    <col min="31" max="31" width="8.88671875" hidden="1" customWidth="1"/>
    <col min="32" max="32" width="17.88671875" hidden="1" customWidth="1"/>
    <col min="33" max="33" width="8.88671875" hidden="1" customWidth="1"/>
    <col min="34" max="34" width="0.109375" hidden="1" customWidth="1"/>
    <col min="35" max="35" width="14.5546875" hidden="1" customWidth="1"/>
    <col min="36" max="36" width="14" hidden="1" customWidth="1"/>
    <col min="37" max="37" width="14" customWidth="1"/>
    <col min="38" max="38" width="17.21875" bestFit="1" customWidth="1"/>
    <col min="39" max="39" width="16" bestFit="1" customWidth="1"/>
    <col min="40" max="40" width="10.109375" style="7" bestFit="1" customWidth="1"/>
  </cols>
  <sheetData>
    <row r="1" spans="1:40" x14ac:dyDescent="0.3">
      <c r="A1" s="50" t="s">
        <v>150</v>
      </c>
      <c r="B1" t="s">
        <v>150</v>
      </c>
      <c r="C1" t="s">
        <v>151</v>
      </c>
      <c r="D1" t="s">
        <v>152</v>
      </c>
      <c r="E1" s="8" t="s">
        <v>153</v>
      </c>
      <c r="F1" t="s">
        <v>154</v>
      </c>
      <c r="G1" s="7" t="s">
        <v>155</v>
      </c>
      <c r="H1" t="s">
        <v>170</v>
      </c>
      <c r="I1" t="s">
        <v>171</v>
      </c>
      <c r="J1" t="s">
        <v>172</v>
      </c>
      <c r="K1" t="s">
        <v>173</v>
      </c>
      <c r="L1" t="s">
        <v>169</v>
      </c>
      <c r="M1" t="s">
        <v>168</v>
      </c>
      <c r="N1" t="s">
        <v>156</v>
      </c>
      <c r="O1" t="s">
        <v>166</v>
      </c>
      <c r="P1" t="s">
        <v>191</v>
      </c>
      <c r="Q1" s="7" t="s">
        <v>192</v>
      </c>
      <c r="R1" t="s">
        <v>197</v>
      </c>
      <c r="S1" t="s">
        <v>193</v>
      </c>
      <c r="T1" t="s">
        <v>232</v>
      </c>
      <c r="V1" t="s">
        <v>195</v>
      </c>
      <c r="W1" t="s">
        <v>196</v>
      </c>
      <c r="X1" t="s">
        <v>198</v>
      </c>
      <c r="Y1" s="50" t="s">
        <v>194</v>
      </c>
      <c r="Z1"/>
      <c r="AA1"/>
      <c r="AB1" t="s">
        <v>225</v>
      </c>
      <c r="AC1">
        <v>1</v>
      </c>
      <c r="AD1" s="25"/>
      <c r="AE1" t="s">
        <v>151</v>
      </c>
      <c r="AF1" t="s">
        <v>199</v>
      </c>
      <c r="AG1" t="s">
        <v>151</v>
      </c>
      <c r="AI1" t="s">
        <v>215</v>
      </c>
      <c r="AJ1" t="s">
        <v>216</v>
      </c>
      <c r="AK1" t="s">
        <v>230</v>
      </c>
      <c r="AL1" t="s">
        <v>224</v>
      </c>
      <c r="AM1" t="s">
        <v>228</v>
      </c>
      <c r="AN1" s="7" t="s">
        <v>229</v>
      </c>
    </row>
    <row r="2" spans="1:40" x14ac:dyDescent="0.3">
      <c r="A2" s="50">
        <f>IF(D2="A",_xlfn.IFNA(INDEX(Data!$H$24:$J$28,MATCH('DL 1'!E3,Data!$G$24:$G$28,1),MATCH('DL 1'!D3,Data!$H$23:$J$23,1)),0),0)</f>
        <v>0</v>
      </c>
      <c r="B2">
        <f>IF('DL 1'!F3="Y",Q2,0)</f>
        <v>0</v>
      </c>
      <c r="C2" t="e">
        <f>_xlfn.IFNA(INDEX(Data!$H$24:$J$28,MATCH(#REF!,Data!$G$24:$G$28,1),MATCH(#REF!,Data!$H$23:$J$23,1)),0)</f>
        <v>#REF!</v>
      </c>
      <c r="D2" t="str">
        <f>RIGHT(TRIM('DL 1'!G3),1)</f>
        <v>B</v>
      </c>
      <c r="E2" s="8">
        <f>'DL 1'!E3*'DL 1'!D3</f>
        <v>261000000</v>
      </c>
      <c r="F2" t="str">
        <f>_xlfn.IFNA(VLOOKUP(TRIM('DL 1'!G3),Data!$A:$C,3,0),"")</f>
        <v/>
      </c>
      <c r="G2" s="7">
        <f>'DL 1'!E3</f>
        <v>29000000</v>
      </c>
      <c r="H2" s="21">
        <f>_xlfn.IFNA(VLOOKUP(TRIM('DL 1'!G3),Data!$A:$D,4,0),0)</f>
        <v>0</v>
      </c>
      <c r="I2">
        <f>_xlfn.IFNA(INDEX(Data!H70:K74,MATCH(Table7[[#This Row],[Column9]],Data!H69:K69,1),MATCH(CONVERT!#REF!,Data!G70:G74,1)),0)</f>
        <v>0</v>
      </c>
      <c r="J2">
        <f>_xlfn.IFNA(IF(VLOOKUP(TRIM('DL 1'!G3),Data!$A:$C,3,0)="ST1",H2*I2*G2,IF(VLOOKUP(TRIM('DL 1'!G3),Data!$A:$C,3,0)="IR0",H2*G2,MIN(H2:I2)*G2)),0)</f>
        <v>0</v>
      </c>
      <c r="K2" s="7" t="e">
        <f>_xlfn.IFNA(VLOOKUP(TRIM(#REF!),Data!$A:$D,4,0)*#REF!,0)</f>
        <v>#REF!</v>
      </c>
      <c r="L2">
        <f>IF(TRIM('DL 1'!G3)="EDCLNHT0IRNLI",20000,0)</f>
        <v>0</v>
      </c>
      <c r="M2">
        <f>IF(ISERROR(MATCH('DL 1'!A3,#REF!,0)),0,J2*2)</f>
        <v>0</v>
      </c>
      <c r="N2" s="7" t="e">
        <f>#REF!</f>
        <v>#REF!</v>
      </c>
      <c r="O2">
        <f>_xlfn.IFNA(VLOOKUP(RIGHT(VLOOKUP(TRIM('DL 1'!G3),Data!$A:$B,2,0),1),Data!$L$23:$M$30,2,0),0)</f>
        <v>0</v>
      </c>
      <c r="P2">
        <f>IF(G2&lt;1,0,IF(G2&lt;12000000,1,IF(AND(G2&gt;=12000000,G2&lt;25000000),2,IF(AND(G2&gt;=25000000,G2&lt;50000000),3,IF(AND(G2&gt;=50000000),4,)))))</f>
        <v>3</v>
      </c>
      <c r="Q2" s="7">
        <f>IF(AND(P2=1,S2&lt;15),10000,IF(AND(P2=1,S2&gt;=15,S2&lt;18),15000,IF(AND(P2=1,S2&gt;=18),20000,(IF(AND(P2=2,S2&lt;15),18000,IF(AND(P2=2,S2&gt;=15,S2&lt;18),23000,IF(AND(P2=2,S2&gt;=18),28000,IF(AND(P2=3,S2&lt;15),26000,IF(AND(P2=3,S2&gt;=15,S2&lt;18),31000,IF(AND(P2=3,S2&gt;=18),36000,IF(AND(P2=4,S2&lt;15),34000,IF(AND(P2=4,S2&gt;=15,S2&lt;18),39000,IF(AND(P2=4,S2&gt;=18),44000)))))))))))))</f>
        <v>26000</v>
      </c>
      <c r="R2" s="27">
        <f>INCENTIVE!$E$8</f>
        <v>130000000</v>
      </c>
      <c r="S2">
        <f>'DL 1'!D3</f>
        <v>9</v>
      </c>
      <c r="T2" t="str">
        <f>(IF(S2&gt;=24,"5",IF(S2&gt;=18,"4",IF(S2&gt;=15,"3",IF(S2&gt;=12,"2","1")))))</f>
        <v>1</v>
      </c>
      <c r="V2" t="str">
        <f>(IF(S2&gt;=12,"6",IF(S2&gt;=9,"5",IF(S2&gt;=8,"4",IF(S2&gt;=7,"3",IF(S2=6,"2","1"))))))</f>
        <v>5</v>
      </c>
      <c r="W2">
        <f>IF(AND(V2="6",R2&gt;=7.7),115%,IF(AND(V2="6",R2&gt;=7.5),105%,IF(AND(V2="6",R2&gt;=7.3),100%,IF(AND(V2="6",R2&gt;=7),100%,IF(AND(V2="6",R2&lt;7),100%,IF(AND(V2="5",R2&gt;=7.7),110%,IF(AND(V2="5",R2&gt;=7.5),100%,IF(AND(V2="5",R2&gt;=7.3),100%,IF(AND(V2="5",R2&gt;=7),100%,IF(AND(V2="5",R2&lt;7),100%,IF(AND(V2="4",R2&gt;=7.7),105%,IF(AND(V2="4",R2&gt;=7.5),100%,IF(AND(V2="4",R2&gt;=7.3),95%,IF(AND(V2="4",R2&gt;=7),90%,IF(AND(V2="4",R2&lt;7),80%,IF(AND(V2="3",R2&gt;=7.7),100%,IF(AND(V2="3",R2&gt;=7.5),90%,IF(AND(V2="3",R2&gt;=7.3),80%,IF(AND(V2="3",R2&gt;=7),70%,IF(AND(V2="3",R2&lt;7),60%,IF(AND(V2="2",R2&gt;=7.7),60%,IF(AND(V2="2",R2&gt;=7.5),50%,IF(AND(V2="2",R2&gt;=7.3),35%,IF(AND(V2="2",R2&gt;=7),35%,IF(AND(V2="2",R2&lt;7),25%,25%)))))))))))))))))))))))))</f>
        <v>1.1000000000000001</v>
      </c>
      <c r="X2" s="7">
        <f>'DL 1'!E3</f>
        <v>29000000</v>
      </c>
      <c r="Y2" s="69" t="str">
        <f>'DL 1'!G3</f>
        <v>B</v>
      </c>
      <c r="Z2" s="50" t="e" cm="1">
        <f t="array" ref="Z2">IF(AND(#REF!="1",Y2="A"),0.9,IF(AND(#REF!="1",Y2="B"),0.7,IF(AND(#REF!="1",Y2="C"),0,IF(AND(#REF!="1",Y2="D"),0,IF(AND(#REF!="2",Y2="A"),1.2,IF(AND(#REF!="2",Y2="B"),1,IF(AND(#REF!="2",Y2="C"),0.1,IF(AND(#REF!="2",Y2="D"),0,IF(AND(#REF!="3",Y2="A"),1.3,IF(AND(#REF!="3",Y2="B"),1.1,IF(AND(#REF!="3",Y2="C"),0.3,IF(AND(#REF!="3",Y2="D"),0,IF(AND(#REF!="4",Y2="A"),1.5,IF(AND(#REF!="4",Y2="B"),1.3,IF(AND(#REF!="4",Y2="C"),0.4,IF(AND(#REF!="4",Y2="D"),0,IF(AND(#REF!="5",Y2=”A”),1.6,IF(AND(#REF!="5",Y2="B"),1.4,IF(AND(#REF!="5",Y2="C"),0.5,IF(AND(#REF!="5",Y2="D"),0,))))))))))))))))))))</f>
        <v>#REF!</v>
      </c>
      <c r="AA2" s="68" t="e">
        <f>IF(AND(Y2="A",#REF!&gt;1),1%,0)</f>
        <v>#REF!</v>
      </c>
      <c r="AB2" s="68">
        <f>_xlfn.IFNA(INDEX(Data!$H$66:$L$69,MATCH('DL 1'!D3,Data!$G$66:$G$69,1),MATCH(CONVERT!#REF!,Data!$H$65:$L$65,1)),0)</f>
        <v>0</v>
      </c>
      <c r="AC2">
        <f>IFERROR(VLOOKUP(Y2,Data!$G$65:$L$69,2,0) *X2,"")</f>
        <v>20300000</v>
      </c>
      <c r="AD2" s="7">
        <f>SUM(AC2)</f>
        <v>20300000</v>
      </c>
      <c r="AE2" t="str">
        <f>'DL 1'!F3</f>
        <v>N</v>
      </c>
      <c r="AF2">
        <f>IFERROR(VLOOKUP(Y2,Data!$G$65:$K$79,4,0),"")</f>
        <v>1.1000000000000001</v>
      </c>
      <c r="AG2" s="51" t="e">
        <f>#REF!</f>
        <v>#REF!</v>
      </c>
      <c r="AI2">
        <f>COUNTIF(CONVERT!AE:AE,"Y")</f>
        <v>17</v>
      </c>
      <c r="AJ2">
        <f>COUNTIF(CONVERT!AG:AG,"Y")</f>
        <v>0</v>
      </c>
      <c r="AK2">
        <f>IF(G2&lt;1,0,IF(G2&lt;12000000,1,IF(AND(G2&gt;=12000000,G2&lt;25000000),2,IF(AND(G2&gt;=25000000,G2&lt;50000000),3,IF(AND(G2&gt;=50000000),4,)))))</f>
        <v>3</v>
      </c>
      <c r="AL2">
        <f t="shared" ref="AL2:AL33" si="0">IF(AND(S2&lt;12,Y2="A"),0.9,IF(AND(S2&lt;12,Y2="B"),0.7,IF(AND(S2&lt;12,Y2="C"),0,IF(AND(S2&lt;12,Y2="D"),0,IF(AND(S2&gt;=12,S2&lt;15,Y2="A"),1.2,IF(AND(S2&gt;=12,S2&lt;15,Y2="B"),1,IF(AND(S2&gt;=12,S2&lt;15,Y2="C"),0.1,IF(AND(S2&gt;=12,S2&lt;15,Y2="D"),0,IF(AND(S2&gt;=15,S2&lt;18,Y2="A"),1.3,IF(AND(S2&gt;=15,S2&lt;18,Y2="B"),1.1,IF(AND(S2&gt;=15,S2&lt;18,Y2="C"),0.3,IF(AND(S2&gt;=15,S2&lt;18,Y2="D"),0,IF(AND(S2&gt;=18,S2&lt;24,Y2="A"),1.5,IF(AND(S2&gt;=18,S2&lt;24,Y2="B"),1.3,IF(AND(S2&gt;=18,S2&lt;24,Y2="C"),0.4,IF(AND(S2&gt;=18,S2&lt;24,Y2="D"),0,IF(AND(S2&gt;=24,Y2="A"),1.6,IF(AND(S2&gt;=24,Y2="B"),1.4,IF(AND(S2&gt;=24,Y2="C"),0.5,IF(AND(S2&gt;=24,Y2="D"),0,))))))))))))))))))))</f>
        <v>0.7</v>
      </c>
      <c r="AM2" s="70">
        <f>X2*(AL2/100)</f>
        <v>202999.99999999997</v>
      </c>
      <c r="AN2" s="7">
        <f>Q2</f>
        <v>26000</v>
      </c>
    </row>
    <row r="3" spans="1:40" x14ac:dyDescent="0.3">
      <c r="A3" s="50">
        <f>IF(D3="A",_xlfn.IFNA(INDEX(Data!$H$24:$J$28,MATCH('DL 1'!E4,Data!$G$24:$G$28,1),MATCH('DL 1'!D4,Data!$H$23:$J$23,1)),0),0)</f>
        <v>25000</v>
      </c>
      <c r="B3">
        <f>IF('DL 1'!F4="Y",Q3,0)</f>
        <v>10000</v>
      </c>
      <c r="C3" t="e">
        <f>_xlfn.IFNA(INDEX(Data!$H$24:$J$28,MATCH(#REF!,Data!$G$24:$G$28,1),MATCH(#REF!,Data!$H$23:$J$23,1)),0)</f>
        <v>#REF!</v>
      </c>
      <c r="D3" t="str">
        <f>RIGHT(TRIM('DL 1'!G4),1)</f>
        <v>A</v>
      </c>
      <c r="E3" s="8">
        <f>'DL 1'!E4*'DL 1'!D4</f>
        <v>120000000</v>
      </c>
      <c r="F3" t="str">
        <f>_xlfn.IFNA(VLOOKUP(TRIM('DL 1'!G4),Data!$A:$C,3,0),"")</f>
        <v/>
      </c>
      <c r="G3" s="7">
        <f>'DL 1'!E4</f>
        <v>10000000</v>
      </c>
      <c r="H3" s="21">
        <f>_xlfn.IFNA(VLOOKUP(TRIM('DL 1'!G4),Data!$A:$D,4,0),0)</f>
        <v>0</v>
      </c>
      <c r="I3">
        <f>_xlfn.IFNA(INDEX(Data!H71:K75,MATCH(Table7[[#This Row],[Column9]],Data!H70:K70,1),MATCH(CONVERT!#REF!,Data!G71:G75,1)),0)</f>
        <v>0</v>
      </c>
      <c r="J3">
        <f>_xlfn.IFNA(IF(VLOOKUP(TRIM('DL 1'!G4),Data!$A:$C,3,0)="ST1",H3*I3*G3,IF(VLOOKUP(TRIM('DL 1'!G4),Data!$A:$C,3,0)="IR0",H3*G3,MIN(H3:I3)*G3)),0)</f>
        <v>0</v>
      </c>
      <c r="K3" t="e">
        <f>_xlfn.IFNA(VLOOKUP(TRIM(#REF!),Data!$A:$D,4,0)*#REF!,0)</f>
        <v>#REF!</v>
      </c>
      <c r="L3">
        <f>IF(TRIM('DL 1'!G4)="EDCLNHT0IRNLI",20000,0)</f>
        <v>0</v>
      </c>
      <c r="M3">
        <f>IF(ISERROR(MATCH('DL 1'!A4,#REF!,0)),0,J3*2)</f>
        <v>0</v>
      </c>
      <c r="N3" t="e">
        <f>#REF!</f>
        <v>#REF!</v>
      </c>
      <c r="O3">
        <f>_xlfn.IFNA(VLOOKUP(RIGHT(VLOOKUP(TRIM('DL 1'!G4),Data!$A:$B,2,0),1),Data!$L$23:$M$30,2,0),0)</f>
        <v>0</v>
      </c>
      <c r="P3">
        <f>IF(G3&lt;1,0,IF(G3&lt;12000000,1,IF(AND(G3&gt;=12000000,G3&lt;25000000),2,IF(AND(G3&gt;=25000000,G3&lt;50000000),3,IF(AND(G3&gt;=50000000),4,)))))</f>
        <v>1</v>
      </c>
      <c r="Q3" s="7">
        <f t="shared" ref="Q3:Q66" si="1">IF(AND(P3=1,S3&lt;15),10000,IF(AND(P3=1,S3&gt;=15,S3&lt;18),15000,IF(AND(P3=1,S3&gt;=18),20000,(IF(AND(P3=2,S3&lt;15),18000,IF(AND(P3=2,S3&gt;=15,S3&lt;18),23000,IF(AND(P3=2,S3&gt;=18),28000,IF(AND(P3=3,S3&lt;15),26000,IF(AND(P3=3,S3&gt;=15,S3&lt;18),31000,IF(AND(P3=3,S3&gt;=18),36000,IF(AND(P3=4,S3&lt;15),34000,IF(AND(P3=4,S3&gt;=15,S3&lt;18),39000,IF(AND(P3=4,S3&gt;=18),44000)))))))))))))</f>
        <v>10000</v>
      </c>
      <c r="R3" s="27">
        <f>INCENTIVE!$E$8</f>
        <v>130000000</v>
      </c>
      <c r="S3">
        <f>'DL 1'!D4</f>
        <v>12</v>
      </c>
      <c r="T3" t="str">
        <f t="shared" ref="T3:T66" si="2">(IF(S3&gt;=24,"5",IF(S3&gt;=18,"4",IF(S3&gt;=15,"3",IF(S3&gt;=12,"2","1")))))</f>
        <v>2</v>
      </c>
      <c r="V3" t="str">
        <f t="shared" ref="V3:V66" si="3">(IF(S3&gt;=12,"6",IF(S3&gt;=9,"5",IF(S3&gt;=8,"4",IF(S3&gt;=7,"3",IF(S3=6,"2","1"))))))</f>
        <v>6</v>
      </c>
      <c r="W3">
        <f t="shared" ref="W3:W66" si="4">IF(AND(V3="6",R3&gt;=7.7),115%,IF(AND(V3="6",R3&gt;=7.5),105%,IF(AND(V3="6",R3&gt;=7.3),100%,IF(AND(V3="6",R3&gt;=7),100%,IF(AND(V3="6",R3&lt;7),100%,IF(AND(V3="5",R3&gt;=7.7),110%,IF(AND(V3="5",R3&gt;=7.5),100%,IF(AND(V3="5",R3&gt;=7.3),100%,IF(AND(V3="5",R3&gt;=7),100%,IF(AND(V3="5",R3&lt;7),100%,IF(AND(V3="4",R3&gt;=7.7),105%,IF(AND(V3="4",R3&gt;=7.5),100%,IF(AND(V3="4",R3&gt;=7.3),95%,IF(AND(V3="4",R3&gt;=7),90%,IF(AND(V3="4",R3&lt;7),80%,IF(AND(V3="3",R3&gt;=7.7),100%,IF(AND(V3="3",R3&gt;=7.5),90%,IF(AND(V3="3",R3&gt;=7.3),80%,IF(AND(V3="3",R3&gt;=7),70%,IF(AND(V3="3",R3&lt;7),60%,IF(AND(V3="2",R3&gt;=7.7),60%,IF(AND(V3="2",R3&gt;=7.5),50%,IF(AND(V3="2",R3&gt;=7.3),35%,IF(AND(V3="2",R3&gt;=7),35%,IF(AND(V3="2",R3&lt;7),25%,25%)))))))))))))))))))))))))</f>
        <v>1.1499999999999999</v>
      </c>
      <c r="X3" s="7">
        <f>'DL 1'!E4</f>
        <v>10000000</v>
      </c>
      <c r="Y3" s="69" t="str">
        <f>'DL 1'!G4</f>
        <v>A</v>
      </c>
      <c r="Z3" s="50" t="e">
        <f>IF(AND(#REF!="1",Y3="A"),0.9,IF(AND(#REF!="1",Y3="B"),0.7,IF(AND(#REF!="1",Y3="C"),0,IF(AND(#REF!="1",Y3="D"),0,IF(AND(#REF!="2",Y3="A"),1.2,IF(AND(#REF!="2",Y3="B"),1,IF(AND(#REF!="2",Y3="C"),0.1,IF(AND(#REF!="2",Y3="D"),0,IF(AND(#REF!="3",Y3="A"),1.3,IF(AND(#REF!="3",Y3="B"),1.1,IF(AND(#REF!="3",Y3="C"),0.3,IF(AND(#REF!="3",Y3="D"),0,IF(AND(#REF!="4",Y3="A"),1.5,IF(AND(#REF!="4",Y3="B"),1.3,IF(AND(#REF!="4",Y3="C"),0.4,IF(AND(#REF!="4",Y3="D"),0,IF(AND(#REF!="5",Y3="A"),1.6,IF(AND(#REF!="5",Y3="B"),1.4,IF(AND(#REF!="5",Y3="C"),0.5,IF(AND(#REF!="5",Y3="D"),0,))))))))))))))))))))</f>
        <v>#REF!</v>
      </c>
      <c r="AB3" s="68">
        <f>_xlfn.IFNA(INDEX(Data!$H$66:$L$69,MATCH('DL 1'!D4,Data!$G$66:$G$69,1),MATCH(CONVERT!#REF!,Data!$H$65:$L$65,1)),0)</f>
        <v>0</v>
      </c>
      <c r="AC3">
        <f>IFERROR(VLOOKUP(Y3,Data!$G$65:$L$69,2,0) *X3,"")</f>
        <v>9000000</v>
      </c>
      <c r="AD3" s="7">
        <f t="shared" ref="AD3:AD66" si="5">SUM(AC3)</f>
        <v>9000000</v>
      </c>
      <c r="AE3" t="str">
        <f>'DL 1'!F4</f>
        <v>Y</v>
      </c>
      <c r="AF3">
        <f>IFERROR(VLOOKUP(Y3,Data!$G$65:$K$79,4,0),"")</f>
        <v>1.3</v>
      </c>
      <c r="AG3" s="51" t="e">
        <f>#REF!</f>
        <v>#REF!</v>
      </c>
      <c r="AK3">
        <f t="shared" ref="AK3:AK66" si="6">IF(G3&lt;1,0,IF(G3&lt;12000000,1,IF(AND(G3&gt;=12000000,G3&lt;25000000),2,IF(AND(G3&gt;=25000000,G3&lt;50000000),3,IF(AND(G3&gt;=50000000),4,)))))</f>
        <v>1</v>
      </c>
      <c r="AL3">
        <f t="shared" si="0"/>
        <v>1.2</v>
      </c>
      <c r="AM3" s="70">
        <f t="shared" ref="AM3:AM66" si="7">X3*(AL3/100)</f>
        <v>120000</v>
      </c>
      <c r="AN3" s="7">
        <f t="shared" ref="AN3:AN66" si="8">Q3</f>
        <v>10000</v>
      </c>
    </row>
    <row r="4" spans="1:40" x14ac:dyDescent="0.3">
      <c r="A4" s="50">
        <f>IF(D4="A",_xlfn.IFNA(INDEX(Data!$H$24:$J$28,MATCH('DL 1'!E5,Data!$G$24:$G$28,1),MATCH('DL 1'!D5,Data!$H$23:$J$23,1)),0),0)</f>
        <v>0</v>
      </c>
      <c r="B4">
        <f>IF('DL 1'!F5="Y",Q4,0)</f>
        <v>0</v>
      </c>
      <c r="C4" t="e">
        <f>_xlfn.IFNA(INDEX(Data!$H$24:$J$28,MATCH(#REF!,Data!$G$24:$G$28,1),MATCH(#REF!,Data!$H$23:$J$23,1)),0)</f>
        <v>#REF!</v>
      </c>
      <c r="D4" t="str">
        <f>RIGHT(TRIM('DL 1'!G5),1)</f>
        <v>B</v>
      </c>
      <c r="E4" s="8">
        <f>'DL 1'!E5*'DL 1'!D5</f>
        <v>324000000</v>
      </c>
      <c r="F4" t="str">
        <f>_xlfn.IFNA(VLOOKUP(TRIM('DL 1'!G5),Data!$A:$C,3,0),"")</f>
        <v/>
      </c>
      <c r="G4" s="7">
        <f>'DL 1'!E5</f>
        <v>9000000</v>
      </c>
      <c r="H4" s="21">
        <f>_xlfn.IFNA(VLOOKUP(TRIM('DL 1'!G5),Data!$A:$D,4,0),0)</f>
        <v>0</v>
      </c>
      <c r="I4" t="e">
        <f>_xlfn.IFNA(INDEX(Data!$G$5:$K$10,MATCH('DL 1'!D5,Data!$F$5:$F$10,1),MATCH(_xlfn.SINGLE(#REF!),Data!$G$4:$K$4,1)),0)</f>
        <v>#REF!</v>
      </c>
      <c r="J4">
        <f>_xlfn.IFNA(IF(VLOOKUP(TRIM('DL 1'!G5),Data!$A:$C,3,0)="ST1",H4*I4*G4,IF(VLOOKUP(TRIM('DL 1'!G5),Data!$A:$C,3,0)="IR0",H4*G4,MIN(H4:I4)*G4)),0)</f>
        <v>0</v>
      </c>
      <c r="K4" t="e">
        <f>_xlfn.IFNA(VLOOKUP(TRIM(#REF!),Data!$A:$D,4,0)*#REF!,0)</f>
        <v>#REF!</v>
      </c>
      <c r="L4">
        <f>IF(TRIM('DL 1'!G5)="EDCLNHT0IRNLI",20000,0)</f>
        <v>0</v>
      </c>
      <c r="M4">
        <f>IF(ISERROR(MATCH('DL 1'!A5,#REF!,0)),0,J4*2)</f>
        <v>0</v>
      </c>
      <c r="N4" t="e">
        <f>#REF!</f>
        <v>#REF!</v>
      </c>
      <c r="O4">
        <f>_xlfn.IFNA(VLOOKUP(RIGHT(VLOOKUP(TRIM('DL 1'!G5),Data!$A:$B,2,0),1),Data!$L$23:$M$30,2,0),0)</f>
        <v>0</v>
      </c>
      <c r="P4">
        <f t="shared" ref="P4:P67" si="9">IF(G4&lt;1,0,IF(G4&lt;12000000,1,IF(AND(G4&gt;=12000000,G4&lt;25000000),2,IF(AND(G4&gt;=25000000,G4&lt;50000000),3,IF(AND(G4&gt;=50000000),4,)))))</f>
        <v>1</v>
      </c>
      <c r="Q4" s="7">
        <f t="shared" si="1"/>
        <v>20000</v>
      </c>
      <c r="R4" s="27">
        <f>INCENTIVE!$E$8</f>
        <v>130000000</v>
      </c>
      <c r="S4">
        <f>'DL 1'!D5</f>
        <v>36</v>
      </c>
      <c r="T4" t="str">
        <f t="shared" si="2"/>
        <v>5</v>
      </c>
      <c r="V4" t="str">
        <f t="shared" si="3"/>
        <v>6</v>
      </c>
      <c r="W4">
        <f t="shared" si="4"/>
        <v>1.1499999999999999</v>
      </c>
      <c r="X4" s="7">
        <f>'DL 1'!E5</f>
        <v>9000000</v>
      </c>
      <c r="Y4" s="69" t="str">
        <f>'DL 1'!G5</f>
        <v>B</v>
      </c>
      <c r="Z4" s="50" t="e">
        <f>IF(AND(#REF!="1",Y4="A"),0.9,IF(AND(#REF!="1",Y4="B"),0.7,IF(AND(#REF!="1",Y4="C"),0,IF(AND(#REF!="1",Y4="D"),0,IF(AND(#REF!="2",Y4="A"),1.2,IF(AND(#REF!="2",Y4="B"),1,IF(AND(#REF!="2",Y4="C"),0.1,IF(AND(#REF!="2",Y4="D"),0,IF(AND(#REF!="3",Y4="A"),1.3,IF(AND(#REF!="3",Y4="B"),1.1,IF(AND(#REF!="3",Y4="C"),0.3,IF(AND(#REF!="3",Y4="D"),0,IF(AND(#REF!="4",Y4="A"),1.5,IF(AND(#REF!="4",Y4="B"),1.3,IF(AND(#REF!="4",Y4="C"),0.4,IF(AND(#REF!="4",Y4="D"),0,IF(AND(#REF!="5",Y4="A"),1.6,IF(AND(#REF!="5",Y4="B"),1.4,IF(AND(#REF!="5",Y4="C"),0.5,IF(AND(#REF!="5",Y4="D"),0,))))))))))))))))))))</f>
        <v>#REF!</v>
      </c>
      <c r="AB4" s="68">
        <f>_xlfn.IFNA(INDEX(Data!$H$66:$L$69,MATCH('DL 1'!D5,Data!$G$66:$G$69,1),MATCH(CONVERT!#REF!,Data!$H$65:$L$65,1)),0)</f>
        <v>0</v>
      </c>
      <c r="AC4">
        <f>IFERROR(VLOOKUP(Y4,Data!$G$65:$L$69,2,0) *X4,"")</f>
        <v>6300000</v>
      </c>
      <c r="AD4" s="7">
        <f t="shared" si="5"/>
        <v>6300000</v>
      </c>
      <c r="AE4" t="str">
        <f>'DL 1'!F5</f>
        <v>N</v>
      </c>
      <c r="AF4">
        <f>IFERROR(VLOOKUP(Y4,Data!$G$65:$K$79,4,0),"")</f>
        <v>1.1000000000000001</v>
      </c>
      <c r="AG4" s="51" t="e">
        <f>#REF!</f>
        <v>#REF!</v>
      </c>
      <c r="AK4">
        <f t="shared" si="6"/>
        <v>1</v>
      </c>
      <c r="AL4">
        <f t="shared" si="0"/>
        <v>1.4</v>
      </c>
      <c r="AM4" s="70">
        <f t="shared" si="7"/>
        <v>125999.99999999999</v>
      </c>
      <c r="AN4" s="7">
        <f t="shared" si="8"/>
        <v>20000</v>
      </c>
    </row>
    <row r="5" spans="1:40" x14ac:dyDescent="0.3">
      <c r="A5" s="50">
        <f>IF(D5="A",_xlfn.IFNA(INDEX(Data!$H$24:$J$28,MATCH('DL 1'!E6,Data!$G$24:$G$28,1),MATCH('DL 1'!D6,Data!$H$23:$J$23,1)),0),0)</f>
        <v>40000</v>
      </c>
      <c r="B5">
        <f>IF('DL 1'!F6="Y",Q5,0)</f>
        <v>36000</v>
      </c>
      <c r="C5" t="e">
        <f>_xlfn.IFNA(INDEX(Data!$H$24:$J$28,MATCH(#REF!,Data!$G$24:$G$28,1),MATCH(#REF!,Data!$H$23:$J$23,1)),0)</f>
        <v>#REF!</v>
      </c>
      <c r="D5" t="str">
        <f>RIGHT(TRIM('DL 1'!G6),1)</f>
        <v>A</v>
      </c>
      <c r="E5" s="8">
        <f>'DL 1'!E6*'DL 1'!D6</f>
        <v>435000000</v>
      </c>
      <c r="F5" t="str">
        <f>_xlfn.IFNA(VLOOKUP(TRIM('DL 1'!G6),Data!$A:$C,3,0),"")</f>
        <v/>
      </c>
      <c r="G5" s="7">
        <f>'DL 1'!E6</f>
        <v>29000000</v>
      </c>
      <c r="H5" s="21">
        <f>_xlfn.IFNA(VLOOKUP(TRIM('DL 1'!G6),Data!$A:$D,4,0),0)</f>
        <v>0</v>
      </c>
      <c r="I5" t="e">
        <f>_xlfn.IFNA(INDEX(Data!$G$5:$K$10,MATCH('DL 1'!D6,Data!$F$5:$F$10,1),MATCH(_xlfn.SINGLE(#REF!),Data!$G$4:$K$4,1)),0)</f>
        <v>#REF!</v>
      </c>
      <c r="J5">
        <f>_xlfn.IFNA(IF(VLOOKUP(TRIM('DL 1'!G6),Data!$A:$C,3,0)="ST1",H5*I5*G5,IF(VLOOKUP(TRIM('DL 1'!G6),Data!$A:$C,3,0)="IR0",H5*G5,MIN(H5:I5)*G5)),0)</f>
        <v>0</v>
      </c>
      <c r="K5" t="e">
        <f>_xlfn.IFNA(VLOOKUP(TRIM(#REF!),Data!$A:$D,4,0)*#REF!,0)</f>
        <v>#REF!</v>
      </c>
      <c r="L5">
        <f>IF(TRIM('DL 1'!G6)="EDCLNHT0IRNLI",20000,0)</f>
        <v>0</v>
      </c>
      <c r="M5">
        <f>IF(ISERROR(MATCH('DL 1'!A6,#REF!,0)),0,J5*2)</f>
        <v>0</v>
      </c>
      <c r="N5" t="e">
        <f>#REF!</f>
        <v>#REF!</v>
      </c>
      <c r="O5">
        <f>_xlfn.IFNA(VLOOKUP(RIGHT(VLOOKUP(TRIM('DL 1'!G6),Data!$A:$B,2,0),1),Data!$L$23:$M$30,2,0),0)</f>
        <v>0</v>
      </c>
      <c r="P5">
        <f t="shared" si="9"/>
        <v>3</v>
      </c>
      <c r="Q5" s="7">
        <f t="shared" si="1"/>
        <v>36000</v>
      </c>
      <c r="R5" s="27">
        <f>INCENTIVE!$E$8</f>
        <v>130000000</v>
      </c>
      <c r="S5">
        <v>18</v>
      </c>
      <c r="T5" t="str">
        <f t="shared" si="2"/>
        <v>4</v>
      </c>
      <c r="V5" t="str">
        <f t="shared" si="3"/>
        <v>6</v>
      </c>
      <c r="W5">
        <f t="shared" si="4"/>
        <v>1.1499999999999999</v>
      </c>
      <c r="X5" s="7">
        <f>'DL 1'!E6</f>
        <v>29000000</v>
      </c>
      <c r="Y5" s="69" t="str">
        <f>'DL 1'!G6</f>
        <v>A</v>
      </c>
      <c r="Z5" s="50" t="e">
        <f>IF(AND(#REF!="1",Y5="A"),0.9,IF(AND(#REF!="1",Y5="B"),0.7,IF(AND(#REF!="1",Y5="C"),0,IF(AND(#REF!="1",Y5="D"),0,IF(AND(#REF!="2",Y5="A"),1.2,IF(AND(#REF!="2",Y5="B"),1,IF(AND(#REF!="2",Y5="C"),0.1,IF(AND(#REF!="2",Y5="D"),0,IF(AND(#REF!="3",Y5="A"),1.3,IF(AND(#REF!="3",Y5="B"),1.1,IF(AND(#REF!="3",Y5="C"),0.3,IF(AND(#REF!="3",Y5="D"),0,IF(AND(#REF!="4",Y5="A"),1.5,IF(AND(#REF!="4",Y5="B"),1.3,IF(AND(#REF!="4",Y5="C"),0.4,IF(AND(#REF!="4",Y5="D"),0,IF(AND(#REF!="5",Y5="A"),1.6,IF(AND(#REF!="5",Y5="B"),1.4,IF(AND(#REF!="5",Y5="C"),0.5,IF(AND(#REF!="5",Y5="D"),0,))))))))))))))))))))</f>
        <v>#REF!</v>
      </c>
      <c r="AB5" s="68">
        <f>_xlfn.IFNA(INDEX(Data!$H$66:$L$69,MATCH('DL 1'!D6,Data!$G$66:$G$69,1),MATCH(CONVERT!#REF!,Data!$H$65:$L$65,1)),0)</f>
        <v>0</v>
      </c>
      <c r="AC5">
        <f>IFERROR(VLOOKUP(Y5,Data!$G$65:$L$69,2,0) *X5,"")</f>
        <v>26100000</v>
      </c>
      <c r="AD5" s="7">
        <f t="shared" si="5"/>
        <v>26100000</v>
      </c>
      <c r="AE5" t="str">
        <f>'DL 1'!F6</f>
        <v>Y</v>
      </c>
      <c r="AF5">
        <f>IFERROR(VLOOKUP(Y5,Data!$G$65:$K$79,4,0),"")</f>
        <v>1.3</v>
      </c>
      <c r="AG5" s="51" t="e">
        <f>#REF!</f>
        <v>#REF!</v>
      </c>
      <c r="AK5">
        <f t="shared" si="6"/>
        <v>3</v>
      </c>
      <c r="AL5">
        <f t="shared" si="0"/>
        <v>1.5</v>
      </c>
      <c r="AM5" s="70">
        <f t="shared" si="7"/>
        <v>435000</v>
      </c>
      <c r="AN5" s="7">
        <f t="shared" si="8"/>
        <v>36000</v>
      </c>
    </row>
    <row r="6" spans="1:40" x14ac:dyDescent="0.3">
      <c r="A6" s="50">
        <f>IF(D6="A",_xlfn.IFNA(INDEX(Data!$H$24:$J$28,MATCH('DL 1'!E7,Data!$G$24:$G$28,1),MATCH('DL 1'!D7,Data!$H$23:$J$23,1)),0),0)</f>
        <v>0</v>
      </c>
      <c r="B6">
        <f>IF('DL 1'!F7="Y",Q6,0)</f>
        <v>31000</v>
      </c>
      <c r="C6" t="e">
        <f>_xlfn.IFNA(INDEX(Data!$H$24:$J$28,MATCH(#REF!,Data!$G$24:$G$28,1),MATCH(#REF!,Data!$H$23:$J$23,1)),0)</f>
        <v>#REF!</v>
      </c>
      <c r="D6" t="str">
        <f>RIGHT(TRIM('DL 1'!G7),1)</f>
        <v>C</v>
      </c>
      <c r="E6" s="8">
        <f>'DL 1'!E7*'DL 1'!D7</f>
        <v>435000000</v>
      </c>
      <c r="F6" t="str">
        <f>_xlfn.IFNA(VLOOKUP(TRIM('DL 1'!G7),Data!$A:$C,3,0),"")</f>
        <v/>
      </c>
      <c r="G6" s="7">
        <f>'DL 1'!E7</f>
        <v>29000000</v>
      </c>
      <c r="H6" s="21">
        <f>_xlfn.IFNA(VLOOKUP(TRIM('DL 1'!G7),Data!$A:$D,4,0),0)</f>
        <v>0</v>
      </c>
      <c r="I6" t="e">
        <f>_xlfn.IFNA(INDEX(Data!$G$5:$K$10,MATCH('DL 1'!D7,Data!$F$5:$F$10,1),MATCH(_xlfn.SINGLE(#REF!),Data!$G$4:$K$4,1)),0)</f>
        <v>#REF!</v>
      </c>
      <c r="J6">
        <f>_xlfn.IFNA(IF(VLOOKUP(TRIM('DL 1'!G7),Data!$A:$C,3,0)="ST1",H6*I6*G6,IF(VLOOKUP(TRIM('DL 1'!G7),Data!$A:$C,3,0)="IR0",H6*G6,MIN(H6:I6)*G6)),0)</f>
        <v>0</v>
      </c>
      <c r="K6" t="e">
        <f>_xlfn.IFNA(VLOOKUP(TRIM(#REF!),Data!$A:$D,4,0)*#REF!,0)</f>
        <v>#REF!</v>
      </c>
      <c r="L6">
        <f>IF(TRIM('DL 1'!G7)="EDCLNHT0IRNLI",20000,0)</f>
        <v>0</v>
      </c>
      <c r="M6">
        <f>IF(ISERROR(MATCH('DL 1'!A7,#REF!,0)),0,J6*2)</f>
        <v>0</v>
      </c>
      <c r="N6" t="e">
        <f>#REF!</f>
        <v>#REF!</v>
      </c>
      <c r="O6">
        <f>_xlfn.IFNA(VLOOKUP(RIGHT(VLOOKUP(TRIM('DL 1'!G7),Data!$A:$B,2,0),1),Data!$L$23:$M$30,2,0),0)</f>
        <v>0</v>
      </c>
      <c r="P6">
        <f t="shared" si="9"/>
        <v>3</v>
      </c>
      <c r="Q6" s="7">
        <f t="shared" si="1"/>
        <v>31000</v>
      </c>
      <c r="R6" s="27">
        <f>INCENTIVE!$E$8</f>
        <v>130000000</v>
      </c>
      <c r="S6">
        <f>'DL 1'!D7</f>
        <v>15</v>
      </c>
      <c r="T6" t="str">
        <f t="shared" si="2"/>
        <v>3</v>
      </c>
      <c r="V6" t="str">
        <f t="shared" si="3"/>
        <v>6</v>
      </c>
      <c r="W6">
        <f t="shared" si="4"/>
        <v>1.1499999999999999</v>
      </c>
      <c r="X6" s="7">
        <f>'DL 1'!E7</f>
        <v>29000000</v>
      </c>
      <c r="Y6" s="69" t="str">
        <f>'DL 1'!G7</f>
        <v>C</v>
      </c>
      <c r="Z6" s="50" t="e">
        <f>IF(AND(#REF!="1",Y6="A"),0.9,IF(AND(#REF!="1",Y6="B"),0.7,IF(AND(#REF!="1",Y6="C"),0,IF(AND(#REF!="1",Y6="D"),0,IF(AND(#REF!="2",Y6="A"),1.2,IF(AND(#REF!="2",Y6="B"),1,IF(AND(#REF!="2",Y6="C"),0.1,IF(AND(#REF!="2",Y6="D"),0,IF(AND(#REF!="3",Y6="A"),1.3,IF(AND(#REF!="3",Y6="B"),1.1,IF(AND(#REF!="3",Y6="C"),0.3,IF(AND(#REF!="3",Y6="D"),0,IF(AND(#REF!="4",Y6="A"),1.5,IF(AND(#REF!="4",Y6="B"),1.3,IF(AND(#REF!="4",Y6="C"),0.4,IF(AND(#REF!="4",Y6="D"),0,IF(AND(#REF!="5",Y6="A"),1.6,IF(AND(#REF!="5",Y6="B"),1.4,IF(AND(#REF!="5",Y6="C"),0.5,IF(AND(#REF!="5",Y6="D"),0,))))))))))))))))))))</f>
        <v>#REF!</v>
      </c>
      <c r="AB6" s="68">
        <f>_xlfn.IFNA(INDEX(Data!$H$66:$L$69,MATCH('DL 1'!D7,Data!$G$66:$G$69,1),MATCH(CONVERT!#REF!,Data!$H$65:$L$65,1)),0)</f>
        <v>0</v>
      </c>
      <c r="AC6">
        <f>IFERROR(VLOOKUP(Y6,Data!$G$65:$L$69,2,0) *X6,"")</f>
        <v>0</v>
      </c>
      <c r="AD6" s="7">
        <f t="shared" si="5"/>
        <v>0</v>
      </c>
      <c r="AE6" t="str">
        <f>'DL 1'!F7</f>
        <v>Y</v>
      </c>
      <c r="AF6">
        <f>IFERROR(VLOOKUP(Y6,Data!$G$65:$K$79,4,0),"")</f>
        <v>0.3</v>
      </c>
      <c r="AG6" s="51" t="e">
        <f>#REF!</f>
        <v>#REF!</v>
      </c>
      <c r="AK6">
        <f t="shared" si="6"/>
        <v>3</v>
      </c>
      <c r="AL6">
        <f t="shared" si="0"/>
        <v>0.3</v>
      </c>
      <c r="AM6" s="70">
        <f t="shared" si="7"/>
        <v>87000</v>
      </c>
      <c r="AN6" s="7">
        <f t="shared" si="8"/>
        <v>31000</v>
      </c>
    </row>
    <row r="7" spans="1:40" x14ac:dyDescent="0.3">
      <c r="A7" s="50">
        <f>IF(D7="A",_xlfn.IFNA(INDEX(Data!$H$24:$J$28,MATCH('DL 1'!E8,Data!$G$24:$G$28,1),MATCH('DL 1'!D8,Data!$H$23:$J$23,1)),0),0)</f>
        <v>40000</v>
      </c>
      <c r="B7">
        <f>IF('DL 1'!F8="Y",Q7,0)</f>
        <v>26000</v>
      </c>
      <c r="C7" t="e">
        <f>_xlfn.IFNA(INDEX(Data!$H$24:$J$28,MATCH(#REF!,Data!$G$24:$G$28,1),MATCH(#REF!,Data!$H$23:$J$23,1)),0)</f>
        <v>#REF!</v>
      </c>
      <c r="D7" t="str">
        <f>RIGHT(TRIM('DL 1'!G8),1)</f>
        <v>A</v>
      </c>
      <c r="E7" s="8">
        <f>'DL 1'!E8*'DL 1'!D8</f>
        <v>348000000</v>
      </c>
      <c r="F7" t="str">
        <f>_xlfn.IFNA(VLOOKUP(TRIM('DL 1'!G8),Data!$A:$C,3,0),"")</f>
        <v/>
      </c>
      <c r="G7" s="7">
        <f>'DL 1'!E8</f>
        <v>29000000</v>
      </c>
      <c r="H7" s="21">
        <f>_xlfn.IFNA(VLOOKUP(TRIM('DL 1'!G8),Data!$A:$D,4,0),0)</f>
        <v>0</v>
      </c>
      <c r="I7" t="e">
        <f>_xlfn.IFNA(INDEX(Data!$G$5:$K$10,MATCH('DL 1'!D8,Data!$F$5:$F$10,1),MATCH(_xlfn.SINGLE(#REF!),Data!$G$4:$K$4,1)),0)</f>
        <v>#REF!</v>
      </c>
      <c r="J7">
        <f>_xlfn.IFNA(IF(VLOOKUP(TRIM('DL 1'!G8),Data!$A:$C,3,0)="ST1",H7*I7*G7,IF(VLOOKUP(TRIM('DL 1'!G8),Data!$A:$C,3,0)="IR0",H7*G7,MIN(H7:I7)*G7)),0)</f>
        <v>0</v>
      </c>
      <c r="K7" t="e">
        <f>_xlfn.IFNA(VLOOKUP(TRIM(#REF!),Data!$A:$D,4,0)*#REF!,0)</f>
        <v>#REF!</v>
      </c>
      <c r="L7">
        <f>IF(TRIM('DL 1'!G8)="EDCLNHT0IRNLI",20000,0)</f>
        <v>0</v>
      </c>
      <c r="M7">
        <f>IF(ISERROR(MATCH('DL 1'!A8,#REF!,0)),0,J7*2)</f>
        <v>0</v>
      </c>
      <c r="N7" t="e">
        <f>#REF!</f>
        <v>#REF!</v>
      </c>
      <c r="O7">
        <f>_xlfn.IFNA(VLOOKUP(RIGHT(VLOOKUP(TRIM('DL 1'!G8),Data!$A:$B,2,0),1),Data!$L$23:$M$30,2,0),0)</f>
        <v>0</v>
      </c>
      <c r="P7">
        <f t="shared" si="9"/>
        <v>3</v>
      </c>
      <c r="Q7" s="7">
        <f t="shared" si="1"/>
        <v>26000</v>
      </c>
      <c r="R7" s="27">
        <f>INCENTIVE!$E$8</f>
        <v>130000000</v>
      </c>
      <c r="S7">
        <f>'DL 1'!D8</f>
        <v>12</v>
      </c>
      <c r="T7" t="str">
        <f t="shared" si="2"/>
        <v>2</v>
      </c>
      <c r="V7" t="str">
        <f t="shared" si="3"/>
        <v>6</v>
      </c>
      <c r="W7">
        <f t="shared" si="4"/>
        <v>1.1499999999999999</v>
      </c>
      <c r="X7" s="7">
        <f>'DL 1'!E8</f>
        <v>29000000</v>
      </c>
      <c r="Y7" s="69" t="str">
        <f>'DL 1'!G8</f>
        <v>A</v>
      </c>
      <c r="Z7" s="50" t="e">
        <f>IF(AND(#REF!="1",Y7="A"),0.9,IF(AND(#REF!="1",Y7="B"),0.7,IF(AND(#REF!="1",Y7="C"),0,IF(AND(#REF!="1",Y7="D"),0,IF(AND(#REF!="2",Y7="A"),1.2,IF(AND(#REF!="2",Y7="B"),1,IF(AND(#REF!="2",Y7="C"),0.1,IF(AND(#REF!="2",Y7="D"),0,IF(AND(#REF!="3",Y7="A"),1.3,IF(AND(#REF!="3",Y7="B"),1.1,IF(AND(#REF!="3",Y7="C"),0.3,IF(AND(#REF!="3",Y7="D"),0,IF(AND(#REF!="4",Y7="A"),1.5,IF(AND(#REF!="4",Y7="B"),1.3,IF(AND(#REF!="4",Y7="C"),0.4,IF(AND(#REF!="4",Y7="D"),0,IF(AND(#REF!="5",Y7="A"),1.6,IF(AND(#REF!="5",Y7="B"),1.4,IF(AND(#REF!="5",Y7="C"),0.5,IF(AND(#REF!="5",Y7="D"),0,))))))))))))))))))))</f>
        <v>#REF!</v>
      </c>
      <c r="AB7" s="68">
        <f>_xlfn.IFNA(INDEX(Data!$H$66:$L$69,MATCH('DL 1'!D8,Data!$G$66:$G$69,1),MATCH(CONVERT!#REF!,Data!$H$65:$L$65,1)),0)</f>
        <v>0</v>
      </c>
      <c r="AC7">
        <f>IFERROR(VLOOKUP(Y7,Data!$G$65:$L$69,2,0) *X7,"")</f>
        <v>26100000</v>
      </c>
      <c r="AD7" s="7">
        <f t="shared" si="5"/>
        <v>26100000</v>
      </c>
      <c r="AE7" t="str">
        <f>'DL 1'!F8</f>
        <v>Y</v>
      </c>
      <c r="AF7">
        <f>IFERROR(VLOOKUP(Y7,Data!$G$65:$K$79,4,0),"")</f>
        <v>1.3</v>
      </c>
      <c r="AG7" s="51" t="e">
        <f>#REF!</f>
        <v>#REF!</v>
      </c>
      <c r="AK7">
        <f t="shared" si="6"/>
        <v>3</v>
      </c>
      <c r="AL7">
        <f t="shared" si="0"/>
        <v>1.2</v>
      </c>
      <c r="AM7" s="70">
        <f t="shared" si="7"/>
        <v>348000</v>
      </c>
      <c r="AN7" s="7">
        <f t="shared" si="8"/>
        <v>26000</v>
      </c>
    </row>
    <row r="8" spans="1:40" x14ac:dyDescent="0.3">
      <c r="A8" s="50">
        <f>IF(D8="A",_xlfn.IFNA(INDEX(Data!$H$24:$J$28,MATCH('DL 1'!E9,Data!$G$24:$G$28,1),MATCH('DL 1'!D9,Data!$H$23:$J$23,1)),0),0)</f>
        <v>0</v>
      </c>
      <c r="B8">
        <f>IF('DL 1'!F9="Y",Q8,0)</f>
        <v>10000</v>
      </c>
      <c r="C8" t="e">
        <f>_xlfn.IFNA(INDEX(Data!$H$24:$J$28,MATCH(#REF!,Data!$G$24:$G$28,1),MATCH(#REF!,Data!$H$23:$J$23,1)),0)</f>
        <v>#REF!</v>
      </c>
      <c r="D8" t="str">
        <f>RIGHT(TRIM('DL 1'!G9),1)</f>
        <v>C</v>
      </c>
      <c r="E8" s="8">
        <f>'DL 1'!E9*'DL 1'!D9</f>
        <v>81000000</v>
      </c>
      <c r="F8" t="str">
        <f>_xlfn.IFNA(VLOOKUP(TRIM('DL 1'!G9),Data!$A:$C,3,0),"")</f>
        <v/>
      </c>
      <c r="G8" s="7">
        <f>'DL 1'!E9</f>
        <v>9000000</v>
      </c>
      <c r="H8" s="21">
        <f>_xlfn.IFNA(VLOOKUP(TRIM('DL 1'!G9),Data!$A:$D,4,0),0)</f>
        <v>0</v>
      </c>
      <c r="I8" t="e">
        <f>_xlfn.IFNA(INDEX(Data!$G$5:$K$10,MATCH('DL 1'!D9,Data!$F$5:$F$10,1),MATCH(_xlfn.SINGLE(#REF!),Data!$G$4:$K$4,1)),0)</f>
        <v>#REF!</v>
      </c>
      <c r="J8">
        <f>_xlfn.IFNA(IF(VLOOKUP(TRIM('DL 1'!G9),Data!$A:$C,3,0)="ST1",H8*I8*G8,IF(VLOOKUP(TRIM('DL 1'!G9),Data!$A:$C,3,0)="IR0",H8*G8,MIN(H8:I8)*G8)),0)</f>
        <v>0</v>
      </c>
      <c r="K8" t="e">
        <f>_xlfn.IFNA(VLOOKUP(TRIM(#REF!),Data!$A:$D,4,0)*#REF!,0)</f>
        <v>#REF!</v>
      </c>
      <c r="L8">
        <f>IF(TRIM('DL 1'!G9)="EDCLNHT0IRNLI",20000,0)</f>
        <v>0</v>
      </c>
      <c r="M8">
        <f>IF(ISERROR(MATCH('DL 1'!A9,#REF!,0)),0,J8*2)</f>
        <v>0</v>
      </c>
      <c r="N8" t="e">
        <f>#REF!</f>
        <v>#REF!</v>
      </c>
      <c r="O8">
        <f>_xlfn.IFNA(VLOOKUP(RIGHT(VLOOKUP(TRIM('DL 1'!G9),Data!$A:$B,2,0),1),Data!$L$23:$M$30,2,0),0)</f>
        <v>0</v>
      </c>
      <c r="P8">
        <f t="shared" si="9"/>
        <v>1</v>
      </c>
      <c r="Q8" s="7">
        <f t="shared" si="1"/>
        <v>10000</v>
      </c>
      <c r="R8" s="27">
        <f>INCENTIVE!$E$8</f>
        <v>130000000</v>
      </c>
      <c r="S8">
        <f>'DL 1'!D9</f>
        <v>9</v>
      </c>
      <c r="T8" t="str">
        <f t="shared" si="2"/>
        <v>1</v>
      </c>
      <c r="V8" t="str">
        <f t="shared" si="3"/>
        <v>5</v>
      </c>
      <c r="W8">
        <f t="shared" si="4"/>
        <v>1.1000000000000001</v>
      </c>
      <c r="X8" s="7">
        <f>'DL 1'!E9</f>
        <v>9000000</v>
      </c>
      <c r="Y8" s="69" t="str">
        <f>'DL 1'!G9</f>
        <v>C</v>
      </c>
      <c r="Z8" s="50" t="e">
        <f>IF(AND(#REF!="1",Y8="A"),0.9,IF(AND(#REF!="1",Y8="B"),0.7,IF(AND(#REF!="1",Y8="C"),0,IF(AND(#REF!="1",Y8="D"),0,IF(AND(#REF!="2",Y8="A"),1.2,IF(AND(#REF!="2",Y8="B"),1,IF(AND(#REF!="2",Y8="C"),0.1,IF(AND(#REF!="2",Y8="D"),0,IF(AND(#REF!="3",Y8="A"),1.3,IF(AND(#REF!="3",Y8="B"),1.1,IF(AND(#REF!="3",Y8="C"),0.3,IF(AND(#REF!="3",Y8="D"),0,IF(AND(#REF!="4",Y8="A"),1.5,IF(AND(#REF!="4",Y8="B"),1.3,IF(AND(#REF!="4",Y8="C"),0.4,IF(AND(#REF!="4",Y8="D"),0,IF(AND(#REF!="5",Y8="A"),1.6,IF(AND(#REF!="5",Y8="B"),1.4,IF(AND(#REF!="5",Y8="C"),0.5,IF(AND(#REF!="5",Y8="D"),0,))))))))))))))))))))</f>
        <v>#REF!</v>
      </c>
      <c r="AB8" s="68">
        <f>_xlfn.IFNA(INDEX(Data!$H$66:$L$69,MATCH('DL 1'!D9,Data!$G$66:$G$69,1),MATCH(CONVERT!#REF!,Data!$H$65:$L$65,1)),0)</f>
        <v>0</v>
      </c>
      <c r="AC8">
        <f>IFERROR(VLOOKUP(Y8,Data!$G$65:$L$69,2,0) *X8,"")</f>
        <v>0</v>
      </c>
      <c r="AD8" s="7">
        <f t="shared" si="5"/>
        <v>0</v>
      </c>
      <c r="AE8" t="str">
        <f>'DL 1'!F9</f>
        <v>Y</v>
      </c>
      <c r="AF8">
        <f>IFERROR(VLOOKUP(Y8,Data!$G$65:$K$79,4,0),"")</f>
        <v>0.3</v>
      </c>
      <c r="AG8" s="51" t="e">
        <f>#REF!</f>
        <v>#REF!</v>
      </c>
      <c r="AK8">
        <f t="shared" si="6"/>
        <v>1</v>
      </c>
      <c r="AL8">
        <f t="shared" si="0"/>
        <v>0</v>
      </c>
      <c r="AM8" s="70">
        <f t="shared" si="7"/>
        <v>0</v>
      </c>
      <c r="AN8" s="7">
        <f t="shared" si="8"/>
        <v>10000</v>
      </c>
    </row>
    <row r="9" spans="1:40" x14ac:dyDescent="0.3">
      <c r="A9" s="50">
        <f>IF(D9="A",_xlfn.IFNA(INDEX(Data!$H$24:$J$28,MATCH('DL 1'!E10,Data!$G$24:$G$28,1),MATCH('DL 1'!D10,Data!$H$23:$J$23,1)),0),0)</f>
        <v>35000</v>
      </c>
      <c r="B9">
        <f>IF('DL 1'!F10="Y",Q9,0)</f>
        <v>26000</v>
      </c>
      <c r="C9" t="e">
        <f>_xlfn.IFNA(INDEX(Data!$H$24:$J$28,MATCH(#REF!,Data!$G$24:$G$28,1),MATCH(#REF!,Data!$H$23:$J$23,1)),0)</f>
        <v>#REF!</v>
      </c>
      <c r="D9" t="str">
        <f>RIGHT(TRIM('DL 1'!G10),1)</f>
        <v>A</v>
      </c>
      <c r="E9" s="8">
        <f>'DL 1'!E10*'DL 1'!D10</f>
        <v>174000000</v>
      </c>
      <c r="F9" t="str">
        <f>_xlfn.IFNA(VLOOKUP(TRIM('DL 1'!G10),Data!$A:$C,3,0),"")</f>
        <v/>
      </c>
      <c r="G9" s="7">
        <f>'DL 1'!E10</f>
        <v>29000000</v>
      </c>
      <c r="H9" s="21">
        <f>_xlfn.IFNA(VLOOKUP(TRIM('DL 1'!G10),Data!$A:$D,4,0),0)</f>
        <v>0</v>
      </c>
      <c r="I9" t="e">
        <f>_xlfn.IFNA(INDEX(Data!$G$5:$K$10,MATCH('DL 1'!D10,Data!$F$5:$F$10,1),MATCH(_xlfn.SINGLE(#REF!),Data!$G$4:$K$4,1)),0)</f>
        <v>#REF!</v>
      </c>
      <c r="J9">
        <f>_xlfn.IFNA(IF(VLOOKUP(TRIM('DL 1'!G10),Data!$A:$C,3,0)="ST1",H9*I9*G9,IF(VLOOKUP(TRIM('DL 1'!G10),Data!$A:$C,3,0)="IR0",H9*G9,MIN(H9:I9)*G9)),0)</f>
        <v>0</v>
      </c>
      <c r="K9" t="e">
        <f>_xlfn.IFNA(VLOOKUP(TRIM(#REF!),Data!$A:$D,4,0)*#REF!,0)</f>
        <v>#REF!</v>
      </c>
      <c r="L9">
        <f>IF(TRIM('DL 1'!G10)="EDCLNHT0IRNLI",20000,0)</f>
        <v>0</v>
      </c>
      <c r="M9">
        <f>IF(ISERROR(MATCH('DL 1'!A10,#REF!,0)),0,J9*2)</f>
        <v>0</v>
      </c>
      <c r="N9" t="e">
        <f>#REF!</f>
        <v>#REF!</v>
      </c>
      <c r="O9">
        <f>_xlfn.IFNA(VLOOKUP(RIGHT(VLOOKUP(TRIM('DL 1'!G10),Data!$A:$B,2,0),1),Data!$L$23:$M$30,2,0),0)</f>
        <v>0</v>
      </c>
      <c r="P9">
        <f t="shared" si="9"/>
        <v>3</v>
      </c>
      <c r="Q9" s="7">
        <f t="shared" si="1"/>
        <v>26000</v>
      </c>
      <c r="R9" s="27">
        <f>INCENTIVE!$E$8</f>
        <v>130000000</v>
      </c>
      <c r="S9">
        <f>'DL 1'!D10</f>
        <v>6</v>
      </c>
      <c r="T9" t="str">
        <f t="shared" si="2"/>
        <v>1</v>
      </c>
      <c r="V9" t="str">
        <f t="shared" si="3"/>
        <v>2</v>
      </c>
      <c r="W9">
        <f t="shared" si="4"/>
        <v>0.6</v>
      </c>
      <c r="X9" s="7">
        <f>'DL 1'!E10</f>
        <v>29000000</v>
      </c>
      <c r="Y9" s="69" t="str">
        <f>'DL 1'!G10</f>
        <v>A</v>
      </c>
      <c r="Z9" s="50" t="e">
        <f>IF(AND(#REF!="1",Y9="A"),0.9,IF(AND(#REF!="1",Y9="B"),0.7,IF(AND(#REF!="1",Y9="C"),0,IF(AND(#REF!="1",Y9="D"),0,IF(AND(#REF!="2",Y9="A"),1.2,IF(AND(#REF!="2",Y9="B"),1,IF(AND(#REF!="2",Y9="C"),0.1,IF(AND(#REF!="2",Y9="D"),0,IF(AND(#REF!="3",Y9="A"),1.3,IF(AND(#REF!="3",Y9="B"),1.1,IF(AND(#REF!="3",Y9="C"),0.3,IF(AND(#REF!="3",Y9="D"),0,IF(AND(#REF!="4",Y9="A"),1.5,IF(AND(#REF!="4",Y9="B"),1.3,IF(AND(#REF!="4",Y9="C"),0.4,IF(AND(#REF!="4",Y9="D"),0,IF(AND(#REF!="5",Y9="A"),1.6,IF(AND(#REF!="5",Y9="B"),1.4,IF(AND(#REF!="5",Y9="C"),0.5,IF(AND(#REF!="5",Y9="D"),0,))))))))))))))))))))</f>
        <v>#REF!</v>
      </c>
      <c r="AB9" s="68">
        <f>_xlfn.IFNA(INDEX(Data!$H$66:$L$69,MATCH('DL 1'!D10,Data!$G$66:$G$69,1),MATCH(CONVERT!#REF!,Data!$H$65:$L$65,1)),0)</f>
        <v>0</v>
      </c>
      <c r="AC9">
        <f>IFERROR(VLOOKUP(Y9,Data!$G$65:$L$69,2,0) *X9,"")</f>
        <v>26100000</v>
      </c>
      <c r="AD9" s="7">
        <f t="shared" si="5"/>
        <v>26100000</v>
      </c>
      <c r="AE9" t="str">
        <f>'DL 1'!F10</f>
        <v>Y</v>
      </c>
      <c r="AF9">
        <f>IFERROR(VLOOKUP(Y9,Data!$G$65:$K$79,4,0),"")</f>
        <v>1.3</v>
      </c>
      <c r="AG9" s="51" t="e">
        <f>#REF!</f>
        <v>#REF!</v>
      </c>
      <c r="AK9">
        <f t="shared" si="6"/>
        <v>3</v>
      </c>
      <c r="AL9">
        <f t="shared" si="0"/>
        <v>0.9</v>
      </c>
      <c r="AM9" s="70">
        <f t="shared" si="7"/>
        <v>261000.00000000003</v>
      </c>
      <c r="AN9" s="7">
        <f t="shared" si="8"/>
        <v>26000</v>
      </c>
    </row>
    <row r="10" spans="1:40" x14ac:dyDescent="0.3">
      <c r="A10" s="50">
        <f>IF(D10="A",_xlfn.IFNA(INDEX(Data!$H$24:$J$28,MATCH('DL 1'!E11,Data!$G$24:$G$28,1),MATCH('DL 1'!D11,Data!$H$23:$J$23,1)),0),0)</f>
        <v>0</v>
      </c>
      <c r="B10">
        <f>IF('DL 1'!F11="Y",Q10,0)</f>
        <v>10000</v>
      </c>
      <c r="C10" t="e">
        <f>_xlfn.IFNA(INDEX(Data!$H$24:$J$28,MATCH(#REF!,Data!$G$24:$G$28,1),MATCH(#REF!,Data!$H$23:$J$23,1)),0)</f>
        <v>#REF!</v>
      </c>
      <c r="D10" t="str">
        <f>RIGHT(TRIM('DL 1'!G11),1)</f>
        <v>D</v>
      </c>
      <c r="E10" s="8">
        <f>'DL 1'!E11*'DL 1'!D11</f>
        <v>54000000</v>
      </c>
      <c r="F10" t="str">
        <f>_xlfn.IFNA(VLOOKUP(TRIM('DL 1'!G11),Data!$A:$C,3,0),"")</f>
        <v/>
      </c>
      <c r="G10" s="7">
        <f>'DL 1'!E11</f>
        <v>9000000</v>
      </c>
      <c r="H10" s="21">
        <f>_xlfn.IFNA(VLOOKUP(TRIM('DL 1'!G11),Data!$A:$D,4,0),0)</f>
        <v>0</v>
      </c>
      <c r="I10" t="e">
        <f>_xlfn.IFNA(INDEX(Data!$G$5:$K$10,MATCH('DL 1'!D11,Data!$F$5:$F$10,1),MATCH(_xlfn.SINGLE(#REF!),Data!$G$4:$K$4,1)),0)</f>
        <v>#REF!</v>
      </c>
      <c r="J10">
        <f>_xlfn.IFNA(IF(VLOOKUP(TRIM('DL 1'!G11),Data!$A:$C,3,0)="ST1",H10*I10*G10,IF(VLOOKUP(TRIM('DL 1'!G11),Data!$A:$C,3,0)="IR0",H10*G10,MIN(H10:I10)*G10)),0)</f>
        <v>0</v>
      </c>
      <c r="K10" t="e">
        <f>_xlfn.IFNA(VLOOKUP(TRIM(#REF!),Data!$A:$D,4,0)*#REF!,0)</f>
        <v>#REF!</v>
      </c>
      <c r="L10">
        <f>IF(TRIM('DL 1'!G11)="EDCLNHT0IRNLI",20000,0)</f>
        <v>0</v>
      </c>
      <c r="M10">
        <f>IF(ISERROR(MATCH('DL 1'!A11,#REF!,0)),0,J10*2)</f>
        <v>0</v>
      </c>
      <c r="N10" t="e">
        <f>#REF!</f>
        <v>#REF!</v>
      </c>
      <c r="O10">
        <f>_xlfn.IFNA(VLOOKUP(RIGHT(VLOOKUP(TRIM('DL 1'!G11),Data!$A:$B,2,0),1),Data!$L$23:$M$30,2,0),0)</f>
        <v>0</v>
      </c>
      <c r="P10">
        <f t="shared" si="9"/>
        <v>1</v>
      </c>
      <c r="Q10" s="7">
        <f t="shared" si="1"/>
        <v>10000</v>
      </c>
      <c r="R10" s="27">
        <f>INCENTIVE!$E$8</f>
        <v>130000000</v>
      </c>
      <c r="S10">
        <f>'DL 1'!D11</f>
        <v>6</v>
      </c>
      <c r="T10" t="str">
        <f t="shared" si="2"/>
        <v>1</v>
      </c>
      <c r="V10" t="str">
        <f t="shared" si="3"/>
        <v>2</v>
      </c>
      <c r="W10">
        <f t="shared" si="4"/>
        <v>0.6</v>
      </c>
      <c r="X10" s="7">
        <f>'DL 1'!E11</f>
        <v>9000000</v>
      </c>
      <c r="Y10" s="69" t="str">
        <f>'DL 1'!G11</f>
        <v>D</v>
      </c>
      <c r="Z10" s="50" t="e">
        <f>IF(AND(#REF!="1",Y10="A"),0.9,IF(AND(#REF!="1",Y10="B"),0.7,IF(AND(#REF!="1",Y10="C"),0,IF(AND(#REF!="1",Y10="D"),0,IF(AND(#REF!="2",Y10="A"),1.2,IF(AND(#REF!="2",Y10="B"),1,IF(AND(#REF!="2",Y10="C"),0.1,IF(AND(#REF!="2",Y10="D"),0,IF(AND(#REF!="3",Y10="A"),1.3,IF(AND(#REF!="3",Y10="B"),1.1,IF(AND(#REF!="3",Y10="C"),0.3,IF(AND(#REF!="3",Y10="D"),0,IF(AND(#REF!="4",Y10="A"),1.5,IF(AND(#REF!="4",Y10="B"),1.3,IF(AND(#REF!="4",Y10="C"),0.4,IF(AND(#REF!="4",Y10="D"),0,IF(AND(#REF!="5",Y10="A"),1.6,IF(AND(#REF!="5",Y10="B"),1.4,IF(AND(#REF!="5",Y10="C"),0.5,IF(AND(#REF!="5",Y10="D"),0,))))))))))))))))))))</f>
        <v>#REF!</v>
      </c>
      <c r="AB10" s="68">
        <f>_xlfn.IFNA(INDEX(Data!$H$66:$L$69,MATCH('DL 1'!D11,Data!$G$66:$G$69,1),MATCH(CONVERT!#REF!,Data!$H$65:$L$65,1)),0)</f>
        <v>0</v>
      </c>
      <c r="AC10">
        <f>IFERROR(VLOOKUP(Y10,Data!$G$65:$L$69,2,0) *X10,"")</f>
        <v>0</v>
      </c>
      <c r="AD10" s="7">
        <f t="shared" si="5"/>
        <v>0</v>
      </c>
      <c r="AE10" t="str">
        <f>'DL 1'!F11</f>
        <v>Y</v>
      </c>
      <c r="AF10">
        <f>IFERROR(VLOOKUP(Y10,Data!$G$65:$K$79,4,0),"")</f>
        <v>0</v>
      </c>
      <c r="AG10" s="51" t="e">
        <f>#REF!</f>
        <v>#REF!</v>
      </c>
      <c r="AK10">
        <f t="shared" si="6"/>
        <v>1</v>
      </c>
      <c r="AL10">
        <f t="shared" si="0"/>
        <v>0</v>
      </c>
      <c r="AM10" s="70">
        <f t="shared" si="7"/>
        <v>0</v>
      </c>
      <c r="AN10" s="7">
        <f t="shared" si="8"/>
        <v>10000</v>
      </c>
    </row>
    <row r="11" spans="1:40" x14ac:dyDescent="0.3">
      <c r="A11" s="50">
        <f>IF(D11="A",_xlfn.IFNA(INDEX(Data!$H$24:$J$28,MATCH('DL 1'!E12,Data!$G$24:$G$28,1),MATCH('DL 1'!D12,Data!$H$23:$J$23,1)),0),0)</f>
        <v>25000</v>
      </c>
      <c r="B11">
        <f>IF('DL 1'!F12="Y",Q11,0)</f>
        <v>26000</v>
      </c>
      <c r="C11" t="e">
        <f>_xlfn.IFNA(INDEX(Data!$H$24:$J$28,MATCH(#REF!,Data!$G$24:$G$28,1),MATCH(#REF!,Data!$H$23:$J$23,1)),0)</f>
        <v>#REF!</v>
      </c>
      <c r="D11" t="str">
        <f>RIGHT(TRIM('DL 1'!G12),1)</f>
        <v>A</v>
      </c>
      <c r="E11" s="8">
        <f>'DL 1'!E12*'DL 1'!D12</f>
        <v>145000000</v>
      </c>
      <c r="F11" t="str">
        <f>_xlfn.IFNA(VLOOKUP(TRIM('DL 1'!G12),Data!$A:$C,3,0),"")</f>
        <v/>
      </c>
      <c r="G11" s="7">
        <f>'DL 1'!E12</f>
        <v>29000000</v>
      </c>
      <c r="H11" s="21">
        <f>_xlfn.IFNA(VLOOKUP(TRIM('DL 1'!G12),Data!$A:$D,4,0),0)</f>
        <v>0</v>
      </c>
      <c r="I11" t="e">
        <f>_xlfn.IFNA(INDEX(Data!$G$5:$K$10,MATCH('DL 1'!D12,Data!$F$5:$F$10,1),MATCH(_xlfn.SINGLE(#REF!),Data!$G$4:$K$4,1)),0)</f>
        <v>#REF!</v>
      </c>
      <c r="J11">
        <f>_xlfn.IFNA(IF(VLOOKUP(TRIM('DL 1'!G12),Data!$A:$C,3,0)="ST1",H11*I11*G11,IF(VLOOKUP(TRIM('DL 1'!G12),Data!$A:$C,3,0)="IR0",H11*G11,MIN(H11:I11)*G11)),0)</f>
        <v>0</v>
      </c>
      <c r="K11" t="e">
        <f>_xlfn.IFNA(VLOOKUP(TRIM(#REF!),Data!$A:$D,4,0)*#REF!,0)</f>
        <v>#REF!</v>
      </c>
      <c r="L11">
        <f>IF(TRIM('DL 1'!G12)="EDCLNHT0IRNLI",20000,0)</f>
        <v>0</v>
      </c>
      <c r="M11">
        <f>IF(ISERROR(MATCH('DL 1'!A12,#REF!,0)),0,J11*2)</f>
        <v>0</v>
      </c>
      <c r="N11" t="e">
        <f>#REF!</f>
        <v>#REF!</v>
      </c>
      <c r="O11">
        <f>_xlfn.IFNA(VLOOKUP(RIGHT(VLOOKUP(TRIM('DL 1'!G12),Data!$A:$B,2,0),1),Data!$L$23:$M$30,2,0),0)</f>
        <v>0</v>
      </c>
      <c r="P11">
        <f t="shared" si="9"/>
        <v>3</v>
      </c>
      <c r="Q11" s="7">
        <f t="shared" si="1"/>
        <v>26000</v>
      </c>
      <c r="R11" s="27">
        <f>INCENTIVE!$E$8</f>
        <v>130000000</v>
      </c>
      <c r="S11">
        <f>'DL 1'!D12</f>
        <v>5</v>
      </c>
      <c r="T11" t="str">
        <f t="shared" si="2"/>
        <v>1</v>
      </c>
      <c r="V11" t="str">
        <f t="shared" si="3"/>
        <v>1</v>
      </c>
      <c r="W11">
        <f t="shared" si="4"/>
        <v>0.25</v>
      </c>
      <c r="X11" s="7">
        <f>'DL 1'!E12</f>
        <v>29000000</v>
      </c>
      <c r="Y11" s="69" t="str">
        <f>'DL 1'!G12</f>
        <v>A</v>
      </c>
      <c r="Z11" s="50" t="e">
        <f>IF(AND(#REF!="1",Y11="A"),0.9,IF(AND(#REF!="1",Y11="B"),0.7,IF(AND(#REF!="1",Y11="C"),0,IF(AND(#REF!="1",Y11="D"),0,IF(AND(#REF!="2",Y11="A"),1.2,IF(AND(#REF!="2",Y11="B"),1,IF(AND(#REF!="2",Y11="C"),0.1,IF(AND(#REF!="2",Y11="D"),0,IF(AND(#REF!="3",Y11="A"),1.3,IF(AND(#REF!="3",Y11="B"),1.1,IF(AND(#REF!="3",Y11="C"),0.3,IF(AND(#REF!="3",Y11="D"),0,IF(AND(#REF!="4",Y11="A"),1.5,IF(AND(#REF!="4",Y11="B"),1.3,IF(AND(#REF!="4",Y11="C"),0.4,IF(AND(#REF!="4",Y11="D"),0,IF(AND(#REF!="5",Y11="A"),1.6,IF(AND(#REF!="5",Y11="B"),1.4,IF(AND(#REF!="5",Y11="C"),0.5,IF(AND(#REF!="5",Y11="D"),0,))))))))))))))))))))</f>
        <v>#REF!</v>
      </c>
      <c r="AB11" s="68">
        <f>_xlfn.IFNA(INDEX(Data!$H$66:$L$69,MATCH('DL 1'!D12,Data!$G$66:$G$69,1),MATCH(CONVERT!#REF!,Data!$H$65:$L$65,1)),0)</f>
        <v>0</v>
      </c>
      <c r="AC11">
        <f>_xlfn.IFNA(INDEX(Data!$H$66:$L$69,MATCH('DL 1'!D3,Data!$G$66:$G$69,1),MATCH(CONVERT!#REF!,Data!$H$65:$L$65,1)),0)</f>
        <v>0</v>
      </c>
      <c r="AD11" s="7">
        <f t="shared" si="5"/>
        <v>0</v>
      </c>
      <c r="AE11" t="str">
        <f>'DL 1'!F12</f>
        <v>Y</v>
      </c>
      <c r="AF11">
        <f>IFERROR(VLOOKUP(Y11,Data!$G$65:$K$79,4,0),"")</f>
        <v>1.3</v>
      </c>
      <c r="AG11" s="51" t="e">
        <f>#REF!</f>
        <v>#REF!</v>
      </c>
      <c r="AK11">
        <f t="shared" si="6"/>
        <v>3</v>
      </c>
      <c r="AL11">
        <f t="shared" si="0"/>
        <v>0.9</v>
      </c>
      <c r="AM11" s="70">
        <f t="shared" si="7"/>
        <v>261000.00000000003</v>
      </c>
      <c r="AN11" s="7">
        <f t="shared" si="8"/>
        <v>26000</v>
      </c>
    </row>
    <row r="12" spans="1:40" x14ac:dyDescent="0.3">
      <c r="A12" s="50">
        <f>IF(D12="A",_xlfn.IFNA(INDEX(Data!$H$24:$J$28,MATCH('DL 1'!E13,Data!$G$24:$G$28,1),MATCH('DL 1'!D13,Data!$H$23:$J$23,1)),0),0)</f>
        <v>25000</v>
      </c>
      <c r="B12">
        <f>IF('DL 1'!F13="Y",Q12,0)</f>
        <v>20000</v>
      </c>
      <c r="C12" t="e">
        <f>_xlfn.IFNA(INDEX(Data!$H$24:$J$28,MATCH(#REF!,Data!$G$24:$G$28,1),MATCH(#REF!,Data!$H$23:$J$23,1)),0)</f>
        <v>#REF!</v>
      </c>
      <c r="D12" t="str">
        <f>RIGHT(TRIM('DL 1'!G13),1)</f>
        <v>A</v>
      </c>
      <c r="E12" s="8">
        <f>'DL 1'!E13*'DL 1'!D13</f>
        <v>162000000</v>
      </c>
      <c r="F12" t="str">
        <f>_xlfn.IFNA(VLOOKUP(TRIM('DL 1'!G13),Data!$A:$C,3,0),"")</f>
        <v/>
      </c>
      <c r="G12" s="7">
        <f>'DL 1'!E13</f>
        <v>9000000</v>
      </c>
      <c r="H12" s="21">
        <f>_xlfn.IFNA(VLOOKUP(TRIM('DL 1'!G13),Data!$A:$D,4,0),0)</f>
        <v>0</v>
      </c>
      <c r="I12" t="e">
        <f>_xlfn.IFNA(INDEX(Data!$G$5:$K$10,MATCH('DL 1'!D13,Data!$F$5:$F$10,1),MATCH(_xlfn.SINGLE(#REF!),Data!$G$4:$K$4,1)),0)</f>
        <v>#REF!</v>
      </c>
      <c r="J12">
        <f>_xlfn.IFNA(IF(VLOOKUP(TRIM('DL 1'!G13),Data!$A:$C,3,0)="ST1",H12*I12*G12,IF(VLOOKUP(TRIM('DL 1'!G13),Data!$A:$C,3,0)="IR0",H12*G12,MIN(H12:I12)*G12)),0)</f>
        <v>0</v>
      </c>
      <c r="K12" t="e">
        <f>_xlfn.IFNA(VLOOKUP(TRIM(#REF!),Data!$A:$D,4,0)*#REF!,0)</f>
        <v>#REF!</v>
      </c>
      <c r="L12">
        <f>IF(TRIM('DL 1'!G13)="EDCLNHT0IRNLI",20000,0)</f>
        <v>0</v>
      </c>
      <c r="M12">
        <f>IF(ISERROR(MATCH('DL 1'!A13,#REF!,0)),0,J12*2)</f>
        <v>0</v>
      </c>
      <c r="N12" t="e">
        <f>#REF!</f>
        <v>#REF!</v>
      </c>
      <c r="O12">
        <f>_xlfn.IFNA(VLOOKUP(RIGHT(VLOOKUP(TRIM('DL 1'!G13),Data!$A:$B,2,0),1),Data!$L$23:$M$30,2,0),0)</f>
        <v>0</v>
      </c>
      <c r="P12">
        <f t="shared" si="9"/>
        <v>1</v>
      </c>
      <c r="Q12" s="7">
        <f t="shared" si="1"/>
        <v>20000</v>
      </c>
      <c r="R12" s="27">
        <f>INCENTIVE!$E$8</f>
        <v>130000000</v>
      </c>
      <c r="S12">
        <f>'DL 1'!D13</f>
        <v>18</v>
      </c>
      <c r="T12" t="str">
        <f t="shared" si="2"/>
        <v>4</v>
      </c>
      <c r="V12" t="str">
        <f t="shared" si="3"/>
        <v>6</v>
      </c>
      <c r="W12">
        <f t="shared" si="4"/>
        <v>1.1499999999999999</v>
      </c>
      <c r="X12" s="7">
        <f>'DL 1'!E13</f>
        <v>9000000</v>
      </c>
      <c r="Y12" s="69" t="str">
        <f>'DL 1'!G13</f>
        <v>A</v>
      </c>
      <c r="Z12" s="50" t="e">
        <f>IF(AND(#REF!="1",Y12="A"),0.9,IF(AND(#REF!="1",Y12="B"),0.7,IF(AND(#REF!="1",Y12="C"),0,IF(AND(#REF!="1",Y12="D"),0,IF(AND(#REF!="2",Y12="A"),1.2,IF(AND(#REF!="2",Y12="B"),1,IF(AND(#REF!="2",Y12="C"),0.1,IF(AND(#REF!="2",Y12="D"),0,IF(AND(#REF!="3",Y12="A"),1.3,IF(AND(#REF!="3",Y12="B"),1.1,IF(AND(#REF!="3",Y12="C"),0.3,IF(AND(#REF!="3",Y12="D"),0,IF(AND(#REF!="4",Y12="A"),1.5,IF(AND(#REF!="4",Y12="B"),1.3,IF(AND(#REF!="4",Y12="C"),0.4,IF(AND(#REF!="4",Y12="D"),0,IF(AND(#REF!="5",Y12="A"),1.6,IF(AND(#REF!="5",Y12="B"),1.4,IF(AND(#REF!="5",Y12="C"),0.5,IF(AND(#REF!="5",Y12="D"),0,))))))))))))))))))))</f>
        <v>#REF!</v>
      </c>
      <c r="AB12" s="68">
        <f>_xlfn.IFNA(INDEX(Data!$H$66:$L$69,MATCH('DL 1'!D13,Data!$G$66:$G$69,1),MATCH(CONVERT!#REF!,Data!$H$65:$L$65,1)),0)</f>
        <v>0</v>
      </c>
      <c r="AC12">
        <f>_xlfn.IFNA(INDEX(Data!$H$66:$L$69,MATCH('DL 1'!D4,Data!$G$66:$G$69,1),MATCH(CONVERT!#REF!,Data!$H$65:$L$65,1)),0)</f>
        <v>0</v>
      </c>
      <c r="AD12" s="7">
        <f t="shared" si="5"/>
        <v>0</v>
      </c>
      <c r="AE12" t="str">
        <f>'DL 1'!F13</f>
        <v>Y</v>
      </c>
      <c r="AF12">
        <f>IFERROR(VLOOKUP(Y12,Data!$G$65:$K$79,4,0),"")</f>
        <v>1.3</v>
      </c>
      <c r="AG12" s="51" t="e">
        <f>#REF!</f>
        <v>#REF!</v>
      </c>
      <c r="AK12">
        <f t="shared" si="6"/>
        <v>1</v>
      </c>
      <c r="AL12">
        <f t="shared" si="0"/>
        <v>1.5</v>
      </c>
      <c r="AM12" s="70">
        <f t="shared" si="7"/>
        <v>135000</v>
      </c>
      <c r="AN12" s="7">
        <f t="shared" si="8"/>
        <v>20000</v>
      </c>
    </row>
    <row r="13" spans="1:40" x14ac:dyDescent="0.3">
      <c r="A13" s="50">
        <f>IF(D13="A",_xlfn.IFNA(INDEX(Data!$H$24:$J$28,MATCH('DL 1'!E14,Data!$G$24:$G$28,1),MATCH('DL 1'!D14,Data!$H$23:$J$23,1)),0),0)</f>
        <v>0</v>
      </c>
      <c r="B13">
        <f>IF('DL 1'!F14="Y",Q13,0)</f>
        <v>20000</v>
      </c>
      <c r="C13" t="e">
        <f>_xlfn.IFNA(INDEX(Data!$H$24:$J$28,MATCH(#REF!,Data!$G$24:$G$28,1),MATCH(#REF!,Data!$H$23:$J$23,1)),0)</f>
        <v>#REF!</v>
      </c>
      <c r="D13" t="str">
        <f>RIGHT(TRIM('DL 1'!G14),1)</f>
        <v>D</v>
      </c>
      <c r="E13" s="8">
        <f>'DL 1'!E14*'DL 1'!D14</f>
        <v>162000000</v>
      </c>
      <c r="F13" t="str">
        <f>_xlfn.IFNA(VLOOKUP(TRIM('DL 1'!G14),Data!$A:$C,3,0),"")</f>
        <v/>
      </c>
      <c r="G13" s="7">
        <f>'DL 1'!E14</f>
        <v>9000000</v>
      </c>
      <c r="H13" s="21">
        <f>_xlfn.IFNA(VLOOKUP(TRIM('DL 1'!G14),Data!$A:$D,4,0),0)</f>
        <v>0</v>
      </c>
      <c r="I13" t="e">
        <f>_xlfn.IFNA(INDEX(Data!$G$5:$K$10,MATCH('DL 1'!D14,Data!$F$5:$F$10,1),MATCH(_xlfn.SINGLE(#REF!),Data!$G$4:$K$4,1)),0)</f>
        <v>#REF!</v>
      </c>
      <c r="J13">
        <f>_xlfn.IFNA(IF(VLOOKUP(TRIM('DL 1'!G14),Data!$A:$C,3,0)="ST1",H13*I13*G13,IF(VLOOKUP(TRIM('DL 1'!G14),Data!$A:$C,3,0)="IR0",H13*G13,MIN(H13:I13)*G13)),0)</f>
        <v>0</v>
      </c>
      <c r="K13" t="e">
        <f>_xlfn.IFNA(VLOOKUP(TRIM(#REF!),Data!$A:$D,4,0)*#REF!,0)</f>
        <v>#REF!</v>
      </c>
      <c r="L13">
        <f>IF(TRIM('DL 1'!G14)="EDCLNHT0IRNLI",20000,0)</f>
        <v>0</v>
      </c>
      <c r="M13">
        <f>IF(ISERROR(MATCH('DL 1'!A14,#REF!,0)),0,J13*2)</f>
        <v>0</v>
      </c>
      <c r="N13" t="e">
        <f>#REF!</f>
        <v>#REF!</v>
      </c>
      <c r="O13">
        <f>_xlfn.IFNA(VLOOKUP(RIGHT(VLOOKUP(TRIM('DL 1'!G14),Data!$A:$B,2,0),1),Data!$L$23:$M$30,2,0),0)</f>
        <v>0</v>
      </c>
      <c r="P13">
        <f t="shared" si="9"/>
        <v>1</v>
      </c>
      <c r="Q13" s="7">
        <f t="shared" si="1"/>
        <v>20000</v>
      </c>
      <c r="R13" s="27">
        <f>INCENTIVE!$E$8</f>
        <v>130000000</v>
      </c>
      <c r="S13">
        <f>'DL 1'!D14</f>
        <v>18</v>
      </c>
      <c r="T13" t="str">
        <f t="shared" si="2"/>
        <v>4</v>
      </c>
      <c r="V13" t="str">
        <f t="shared" si="3"/>
        <v>6</v>
      </c>
      <c r="W13">
        <f t="shared" si="4"/>
        <v>1.1499999999999999</v>
      </c>
      <c r="X13" s="7">
        <f>'DL 1'!E14</f>
        <v>9000000</v>
      </c>
      <c r="Y13" s="69" t="str">
        <f>'DL 1'!G14</f>
        <v>D</v>
      </c>
      <c r="Z13" s="50" t="e">
        <f>IF(AND(#REF!="1",Y13="A"),0.9,IF(AND(#REF!="1",Y13="B"),0.7,IF(AND(#REF!="1",Y13="C"),0,IF(AND(#REF!="1",Y13="D"),0,IF(AND(#REF!="2",Y13="A"),1.2,IF(AND(#REF!="2",Y13="B"),1,IF(AND(#REF!="2",Y13="C"),0.1,IF(AND(#REF!="2",Y13="D"),0,IF(AND(#REF!="3",Y13="A"),1.3,IF(AND(#REF!="3",Y13="B"),1.1,IF(AND(#REF!="3",Y13="C"),0.3,IF(AND(#REF!="3",Y13="D"),0,IF(AND(#REF!="4",Y13="A"),1.5,IF(AND(#REF!="4",Y13="B"),1.3,IF(AND(#REF!="4",Y13="C"),0.4,IF(AND(#REF!="4",Y13="D"),0,IF(AND(#REF!="5",Y13="A"),1.6,IF(AND(#REF!="5",Y13="B"),1.4,IF(AND(#REF!="5",Y13="C"),0.5,IF(AND(#REF!="5",Y13="D"),0,))))))))))))))))))))</f>
        <v>#REF!</v>
      </c>
      <c r="AB13" s="68">
        <f>_xlfn.IFNA(INDEX(Data!$H$66:$L$69,MATCH('DL 1'!D14,Data!$G$66:$G$69,1),MATCH(CONVERT!#REF!,Data!$H$65:$L$65,1)),0)</f>
        <v>0</v>
      </c>
      <c r="AC13">
        <f>_xlfn.IFNA(INDEX(Data!$H$66:$L$69,MATCH('DL 1'!D5,Data!$G$66:$G$69,1),MATCH(CONVERT!#REF!,Data!$H$65:$L$65,1)),0)</f>
        <v>0</v>
      </c>
      <c r="AD13" s="7">
        <f t="shared" si="5"/>
        <v>0</v>
      </c>
      <c r="AE13" t="str">
        <f>'DL 1'!F14</f>
        <v>Y</v>
      </c>
      <c r="AF13">
        <f>IFERROR(VLOOKUP(Y13,Data!$G$65:$K$79,4,0),"")</f>
        <v>0</v>
      </c>
      <c r="AG13" s="51" t="e">
        <f>#REF!</f>
        <v>#REF!</v>
      </c>
      <c r="AK13">
        <f t="shared" si="6"/>
        <v>1</v>
      </c>
      <c r="AL13">
        <f t="shared" si="0"/>
        <v>0</v>
      </c>
      <c r="AM13" s="70">
        <f t="shared" si="7"/>
        <v>0</v>
      </c>
      <c r="AN13" s="7">
        <f t="shared" si="8"/>
        <v>20000</v>
      </c>
    </row>
    <row r="14" spans="1:40" x14ac:dyDescent="0.3">
      <c r="A14" s="50">
        <f>IF(D14="A",_xlfn.IFNA(INDEX(Data!$H$24:$J$28,MATCH('DL 1'!E15,Data!$G$24:$G$28,1),MATCH('DL 1'!D15,Data!$H$23:$J$23,1)),0),0)</f>
        <v>25000</v>
      </c>
      <c r="B14">
        <f>IF('DL 1'!F15="Y",Q14,0)</f>
        <v>20000</v>
      </c>
      <c r="C14" t="e">
        <f>_xlfn.IFNA(INDEX(Data!$H$24:$J$28,MATCH(#REF!,Data!$G$24:$G$28,1),MATCH(#REF!,Data!$H$23:$J$23,1)),0)</f>
        <v>#REF!</v>
      </c>
      <c r="D14" t="str">
        <f>RIGHT(TRIM('DL 1'!G15),1)</f>
        <v>A</v>
      </c>
      <c r="E14" s="8">
        <f>'DL 1'!E15*'DL 1'!D15</f>
        <v>162000000</v>
      </c>
      <c r="F14" t="str">
        <f>_xlfn.IFNA(VLOOKUP(TRIM('DL 1'!G15),Data!$A:$C,3,0),"")</f>
        <v/>
      </c>
      <c r="G14" s="7">
        <f>'DL 1'!E15</f>
        <v>9000000</v>
      </c>
      <c r="H14" s="21">
        <f>_xlfn.IFNA(VLOOKUP(TRIM('DL 1'!G15),Data!$A:$D,4,0),0)</f>
        <v>0</v>
      </c>
      <c r="I14" t="e">
        <f>_xlfn.IFNA(INDEX(Data!$G$5:$K$10,MATCH('DL 1'!D15,Data!$F$5:$F$10,1),MATCH(_xlfn.SINGLE(#REF!),Data!$G$4:$K$4,1)),0)</f>
        <v>#REF!</v>
      </c>
      <c r="J14">
        <f>_xlfn.IFNA(IF(VLOOKUP(TRIM('DL 1'!G15),Data!$A:$C,3,0)="ST1",H14*I14*G14,IF(VLOOKUP(TRIM('DL 1'!G15),Data!$A:$C,3,0)="IR0",H14*G14,MIN(H14:I14)*G14)),0)</f>
        <v>0</v>
      </c>
      <c r="K14" t="e">
        <f>_xlfn.IFNA(VLOOKUP(TRIM(#REF!),Data!$A:$D,4,0)*#REF!,0)</f>
        <v>#REF!</v>
      </c>
      <c r="L14">
        <f>IF(TRIM('DL 1'!G15)="EDCLNHT0IRNLI",20000,0)</f>
        <v>0</v>
      </c>
      <c r="M14">
        <f>IF(ISERROR(MATCH('DL 1'!A15,#REF!,0)),0,J14*2)</f>
        <v>0</v>
      </c>
      <c r="N14" t="e">
        <f>#REF!</f>
        <v>#REF!</v>
      </c>
      <c r="O14">
        <f>_xlfn.IFNA(VLOOKUP(RIGHT(VLOOKUP(TRIM('DL 1'!G15),Data!$A:$B,2,0),1),Data!$L$23:$M$30,2,0),0)</f>
        <v>0</v>
      </c>
      <c r="P14">
        <f t="shared" si="9"/>
        <v>1</v>
      </c>
      <c r="Q14" s="7">
        <f t="shared" si="1"/>
        <v>20000</v>
      </c>
      <c r="R14" s="27">
        <f>INCENTIVE!$E$8</f>
        <v>130000000</v>
      </c>
      <c r="S14">
        <f>'DL 1'!D15</f>
        <v>18</v>
      </c>
      <c r="T14" t="str">
        <f t="shared" si="2"/>
        <v>4</v>
      </c>
      <c r="V14" t="str">
        <f t="shared" si="3"/>
        <v>6</v>
      </c>
      <c r="W14">
        <f t="shared" si="4"/>
        <v>1.1499999999999999</v>
      </c>
      <c r="X14" s="7">
        <f>'DL 1'!E15</f>
        <v>9000000</v>
      </c>
      <c r="Y14" s="69" t="str">
        <f>'DL 1'!G15</f>
        <v>A</v>
      </c>
      <c r="Z14" s="50" t="e">
        <f>IF(AND(#REF!="1",Y14="A"),0.9,IF(AND(#REF!="1",Y14="B"),0.7,IF(AND(#REF!="1",Y14="C"),0,IF(AND(#REF!="1",Y14="D"),0,IF(AND(#REF!="2",Y14="A"),1.2,IF(AND(#REF!="2",Y14="B"),1,IF(AND(#REF!="2",Y14="C"),0.1,IF(AND(#REF!="2",Y14="D"),0,IF(AND(#REF!="3",Y14="A"),1.3,IF(AND(#REF!="3",Y14="B"),1.1,IF(AND(#REF!="3",Y14="C"),0.3,IF(AND(#REF!="3",Y14="D"),0,IF(AND(#REF!="4",Y14="A"),1.5,IF(AND(#REF!="4",Y14="B"),1.3,IF(AND(#REF!="4",Y14="C"),0.4,IF(AND(#REF!="4",Y14="D"),0,IF(AND(#REF!="5",Y14="A"),1.6,IF(AND(#REF!="5",Y14="B"),1.4,IF(AND(#REF!="5",Y14="C"),0.5,IF(AND(#REF!="5",Y14="D"),0,))))))))))))))))))))</f>
        <v>#REF!</v>
      </c>
      <c r="AB14" s="68">
        <f>_xlfn.IFNA(INDEX(Data!$H$66:$L$69,MATCH('DL 1'!D15,Data!$G$66:$G$69,1),MATCH(CONVERT!#REF!,Data!$H$65:$L$65,1)),0)</f>
        <v>0</v>
      </c>
      <c r="AC14">
        <f>_xlfn.IFNA(INDEX(Data!$H$66:$L$69,MATCH('DL 1'!D6,Data!$G$66:$G$69,1),MATCH(CONVERT!#REF!,Data!$H$65:$L$65,1)),0)</f>
        <v>0</v>
      </c>
      <c r="AD14" s="7">
        <f t="shared" si="5"/>
        <v>0</v>
      </c>
      <c r="AE14" t="str">
        <f>'DL 1'!F15</f>
        <v>Y</v>
      </c>
      <c r="AF14">
        <f>IFERROR(VLOOKUP(Y14,Data!$G$65:$K$79,4,0),"")</f>
        <v>1.3</v>
      </c>
      <c r="AG14" s="51" t="e">
        <f>#REF!</f>
        <v>#REF!</v>
      </c>
      <c r="AK14">
        <f t="shared" si="6"/>
        <v>1</v>
      </c>
      <c r="AL14">
        <f t="shared" si="0"/>
        <v>1.5</v>
      </c>
      <c r="AM14" s="70">
        <f t="shared" si="7"/>
        <v>135000</v>
      </c>
      <c r="AN14" s="7">
        <f t="shared" si="8"/>
        <v>20000</v>
      </c>
    </row>
    <row r="15" spans="1:40" x14ac:dyDescent="0.3">
      <c r="A15" s="50">
        <f>IF(D15="A",_xlfn.IFNA(INDEX(Data!$H$24:$J$28,MATCH('DL 1'!E16,Data!$G$24:$G$28,1),MATCH('DL 1'!D16,Data!$H$23:$J$23,1)),0),0)</f>
        <v>0</v>
      </c>
      <c r="B15">
        <f>IF('DL 1'!F16="Y",Q15,0)</f>
        <v>36000</v>
      </c>
      <c r="C15" t="e">
        <f>_xlfn.IFNA(INDEX(Data!$H$24:$J$28,MATCH(#REF!,Data!$G$24:$G$28,1),MATCH(#REF!,Data!$H$23:$J$23,1)),0)</f>
        <v>#REF!</v>
      </c>
      <c r="D15" t="str">
        <f>RIGHT(TRIM('DL 1'!G16),1)</f>
        <v>B</v>
      </c>
      <c r="E15" s="8">
        <f>'DL 1'!E16*'DL 1'!D16</f>
        <v>522000000</v>
      </c>
      <c r="F15" t="str">
        <f>_xlfn.IFNA(VLOOKUP(TRIM('DL 1'!G16),Data!$A:$C,3,0),"")</f>
        <v/>
      </c>
      <c r="G15" s="7">
        <f>'DL 1'!E16</f>
        <v>29000000</v>
      </c>
      <c r="H15" s="21">
        <f>_xlfn.IFNA(VLOOKUP(TRIM('DL 1'!G16),Data!$A:$D,4,0),0)</f>
        <v>0</v>
      </c>
      <c r="I15" t="e">
        <f>_xlfn.IFNA(INDEX(Data!$G$5:$K$10,MATCH('DL 1'!D16,Data!$F$5:$F$10,1),MATCH(_xlfn.SINGLE(#REF!),Data!$G$4:$K$4,1)),0)</f>
        <v>#REF!</v>
      </c>
      <c r="J15">
        <f>_xlfn.IFNA(IF(VLOOKUP(TRIM('DL 1'!G16),Data!$A:$C,3,0)="ST1",H15*I15*G15,IF(VLOOKUP(TRIM('DL 1'!G16),Data!$A:$C,3,0)="IR0",H15*G15,MIN(H15:I15)*G15)),0)</f>
        <v>0</v>
      </c>
      <c r="K15" t="e">
        <f>_xlfn.IFNA(VLOOKUP(TRIM(#REF!),Data!$A:$D,4,0)*#REF!,0)</f>
        <v>#REF!</v>
      </c>
      <c r="L15">
        <f>IF(TRIM('DL 1'!G16)="EDCLNHT0IRNLI",20000,0)</f>
        <v>0</v>
      </c>
      <c r="M15">
        <f>IF(ISERROR(MATCH('DL 1'!A16,#REF!,0)),0,J15*2)</f>
        <v>0</v>
      </c>
      <c r="N15" t="e">
        <f>#REF!</f>
        <v>#REF!</v>
      </c>
      <c r="O15">
        <f>_xlfn.IFNA(VLOOKUP(RIGHT(VLOOKUP(TRIM('DL 1'!G16),Data!$A:$B,2,0),1),Data!$L$23:$M$30,2,0),0)</f>
        <v>0</v>
      </c>
      <c r="P15">
        <f t="shared" si="9"/>
        <v>3</v>
      </c>
      <c r="Q15" s="7">
        <f t="shared" si="1"/>
        <v>36000</v>
      </c>
      <c r="R15" s="27">
        <f>INCENTIVE!$E$8</f>
        <v>130000000</v>
      </c>
      <c r="S15">
        <f>'DL 1'!D16</f>
        <v>18</v>
      </c>
      <c r="T15" t="str">
        <f t="shared" si="2"/>
        <v>4</v>
      </c>
      <c r="V15" t="str">
        <f t="shared" si="3"/>
        <v>6</v>
      </c>
      <c r="W15">
        <f t="shared" si="4"/>
        <v>1.1499999999999999</v>
      </c>
      <c r="X15" s="7">
        <f>'DL 1'!E16</f>
        <v>29000000</v>
      </c>
      <c r="Y15" s="69" t="str">
        <f>'DL 1'!G16</f>
        <v>B</v>
      </c>
      <c r="Z15" s="50" t="e">
        <f>IF(AND(#REF!="1",Y15="A"),0.9,IF(AND(#REF!="1",Y15="B"),0.7,IF(AND(#REF!="1",Y15="C"),0,IF(AND(#REF!="1",Y15="D"),0,IF(AND(#REF!="2",Y15="A"),1.2,IF(AND(#REF!="2",Y15="B"),1,IF(AND(#REF!="2",Y15="C"),0.1,IF(AND(#REF!="2",Y15="D"),0,IF(AND(#REF!="3",Y15="A"),1.3,IF(AND(#REF!="3",Y15="B"),1.1,IF(AND(#REF!="3",Y15="C"),0.3,IF(AND(#REF!="3",Y15="D"),0,IF(AND(#REF!="4",Y15="A"),1.5,IF(AND(#REF!="4",Y15="B"),1.3,IF(AND(#REF!="4",Y15="C"),0.4,IF(AND(#REF!="4",Y15="D"),0,IF(AND(#REF!="5",Y15="A"),1.6,IF(AND(#REF!="5",Y15="B"),1.4,IF(AND(#REF!="5",Y15="C"),0.5,IF(AND(#REF!="5",Y15="D"),0,))))))))))))))))))))</f>
        <v>#REF!</v>
      </c>
      <c r="AB15" s="50">
        <f>_xlfn.IFNA(INDEX(Data!$H$66:$L$69,MATCH(Y15,Data!$G$66:$G$69,1)),0)</f>
        <v>0</v>
      </c>
      <c r="AC15">
        <f>_xlfn.IFNA(INDEX(Data!$H$66:$L$69,MATCH('DL 1'!D7,Data!$G$66:$G$69,1),MATCH(CONVERT!#REF!,Data!$H$65:$L$65,1)),0)</f>
        <v>0</v>
      </c>
      <c r="AD15" s="7">
        <f t="shared" si="5"/>
        <v>0</v>
      </c>
      <c r="AE15" t="str">
        <f>'DL 1'!F16</f>
        <v>Y</v>
      </c>
      <c r="AF15">
        <f>IFERROR(VLOOKUP(Y15,Data!$G$65:$K$79,4,0),"")</f>
        <v>1.1000000000000001</v>
      </c>
      <c r="AG15" s="51" t="e">
        <f>#REF!</f>
        <v>#REF!</v>
      </c>
      <c r="AK15">
        <f t="shared" si="6"/>
        <v>3</v>
      </c>
      <c r="AL15">
        <f t="shared" si="0"/>
        <v>1.3</v>
      </c>
      <c r="AM15" s="70">
        <f t="shared" si="7"/>
        <v>377000.00000000006</v>
      </c>
      <c r="AN15" s="7">
        <f t="shared" si="8"/>
        <v>36000</v>
      </c>
    </row>
    <row r="16" spans="1:40" x14ac:dyDescent="0.3">
      <c r="A16" s="50">
        <f>IF(D16="A",_xlfn.IFNA(INDEX(Data!$H$24:$J$28,MATCH('DL 1'!E17,Data!$G$24:$G$28,1),MATCH('DL 1'!D17,Data!$H$23:$J$23,1)),0),0)</f>
        <v>25000</v>
      </c>
      <c r="B16">
        <f>IF('DL 1'!F17="Y",Q16,0)</f>
        <v>20000</v>
      </c>
      <c r="C16" t="e">
        <f>_xlfn.IFNA(INDEX(Data!$H$24:$J$28,MATCH(#REF!,Data!$G$24:$G$28,1),MATCH(#REF!,Data!$H$23:$J$23,1)),0)</f>
        <v>#REF!</v>
      </c>
      <c r="D16" t="str">
        <f>RIGHT(TRIM('DL 1'!G17),1)</f>
        <v>A</v>
      </c>
      <c r="E16" s="8">
        <f>'DL 1'!E17*'DL 1'!D17</f>
        <v>162000000</v>
      </c>
      <c r="F16" t="str">
        <f>_xlfn.IFNA(VLOOKUP(TRIM('DL 1'!G17),Data!$A:$C,3,0),"")</f>
        <v/>
      </c>
      <c r="G16" s="7">
        <f>'DL 1'!E17</f>
        <v>9000000</v>
      </c>
      <c r="H16" s="21">
        <f>_xlfn.IFNA(VLOOKUP(TRIM('DL 1'!G17),Data!$A:$D,4,0),0)</f>
        <v>0</v>
      </c>
      <c r="I16" t="e">
        <f>_xlfn.IFNA(INDEX(Data!$G$5:$K$10,MATCH('DL 1'!D17,Data!$F$5:$F$10,1),MATCH(_xlfn.SINGLE(#REF!),Data!$G$4:$K$4,1)),0)</f>
        <v>#REF!</v>
      </c>
      <c r="J16">
        <f>_xlfn.IFNA(IF(VLOOKUP(TRIM('DL 1'!G17),Data!$A:$C,3,0)="ST1",H16*I16*G16,IF(VLOOKUP(TRIM('DL 1'!G17),Data!$A:$C,3,0)="IR0",H16*G16,MIN(H16:I16)*G16)),0)</f>
        <v>0</v>
      </c>
      <c r="K16" t="e">
        <f>_xlfn.IFNA(VLOOKUP(TRIM(#REF!),Data!$A:$D,4,0)*#REF!,0)</f>
        <v>#REF!</v>
      </c>
      <c r="L16">
        <f>IF(TRIM('DL 1'!G17)="EDCLNHT0IRNLI",20000,0)</f>
        <v>0</v>
      </c>
      <c r="M16">
        <f>IF(ISERROR(MATCH('DL 1'!A17,#REF!,0)),0,J16*2)</f>
        <v>0</v>
      </c>
      <c r="N16" t="e">
        <f>#REF!</f>
        <v>#REF!</v>
      </c>
      <c r="O16">
        <f>_xlfn.IFNA(VLOOKUP(RIGHT(VLOOKUP(TRIM('DL 1'!G17),Data!$A:$B,2,0),1),Data!$L$23:$M$30,2,0),0)</f>
        <v>0</v>
      </c>
      <c r="P16">
        <f t="shared" si="9"/>
        <v>1</v>
      </c>
      <c r="Q16" s="7">
        <f t="shared" si="1"/>
        <v>20000</v>
      </c>
      <c r="R16" s="27">
        <f>INCENTIVE!$E$8</f>
        <v>130000000</v>
      </c>
      <c r="S16">
        <f>'DL 1'!D17</f>
        <v>18</v>
      </c>
      <c r="T16" t="str">
        <f t="shared" si="2"/>
        <v>4</v>
      </c>
      <c r="V16" t="str">
        <f t="shared" si="3"/>
        <v>6</v>
      </c>
      <c r="W16">
        <f t="shared" si="4"/>
        <v>1.1499999999999999</v>
      </c>
      <c r="X16" s="7">
        <f>'DL 1'!E17</f>
        <v>9000000</v>
      </c>
      <c r="Y16" s="69" t="str">
        <f>'DL 1'!G17</f>
        <v>A</v>
      </c>
      <c r="Z16" s="50" t="e">
        <f>IF(AND(#REF!="1",Y16="A"),0.9,IF(AND(#REF!="1",Y16="B"),0.7,IF(AND(#REF!="1",Y16="C"),0,IF(AND(#REF!="1",Y16="D"),0,IF(AND(#REF!="2",Y16="A"),1.2,IF(AND(#REF!="2",Y16="B"),1,IF(AND(#REF!="2",Y16="C"),0.1,IF(AND(#REF!="2",Y16="D"),0,IF(AND(#REF!="3",Y16="A"),1.3,IF(AND(#REF!="3",Y16="B"),1.1,IF(AND(#REF!="3",Y16="C"),0.3,IF(AND(#REF!="3",Y16="D"),0,IF(AND(#REF!="4",Y16="A"),1.5,IF(AND(#REF!="4",Y16="B"),1.3,IF(AND(#REF!="4",Y16="C"),0.4,IF(AND(#REF!="4",Y16="D"),0,IF(AND(#REF!="5",Y16="A"),1.6,IF(AND(#REF!="5",Y16="B"),1.4,IF(AND(#REF!="5",Y16="C"),0.5,IF(AND(#REF!="5",Y16="D"),0,))))))))))))))))))))</f>
        <v>#REF!</v>
      </c>
      <c r="AC16">
        <f>_xlfn.IFNA(INDEX(Data!$H$66:$L$69,MATCH('DL 1'!D8,Data!$G$66:$G$69,1),MATCH(CONVERT!#REF!,Data!$H$65:$L$65,1)),0)</f>
        <v>0</v>
      </c>
      <c r="AD16" s="7">
        <f t="shared" si="5"/>
        <v>0</v>
      </c>
      <c r="AE16" t="str">
        <f>'DL 1'!F17</f>
        <v>Y</v>
      </c>
      <c r="AF16">
        <f>IFERROR(VLOOKUP(Y16,Data!$G$65:$K$79,4,0),"")</f>
        <v>1.3</v>
      </c>
      <c r="AG16" s="51" t="e">
        <f>#REF!</f>
        <v>#REF!</v>
      </c>
      <c r="AK16">
        <f t="shared" si="6"/>
        <v>1</v>
      </c>
      <c r="AL16">
        <f t="shared" si="0"/>
        <v>1.5</v>
      </c>
      <c r="AM16" s="70">
        <f t="shared" si="7"/>
        <v>135000</v>
      </c>
      <c r="AN16" s="7">
        <f t="shared" si="8"/>
        <v>20000</v>
      </c>
    </row>
    <row r="17" spans="1:40" x14ac:dyDescent="0.3">
      <c r="A17" s="50">
        <f>IF(D17="A",_xlfn.IFNA(INDEX(Data!$H$24:$J$28,MATCH('DL 1'!E18,Data!$G$24:$G$28,1),MATCH('DL 1'!D18,Data!$H$23:$J$23,1)),0),0)</f>
        <v>0</v>
      </c>
      <c r="B17">
        <f>IF('DL 1'!F18="Y",Q17,0)</f>
        <v>20000</v>
      </c>
      <c r="C17" t="e">
        <f>_xlfn.IFNA(INDEX(Data!$H$24:$J$28,MATCH(#REF!,Data!$G$24:$G$28,1),MATCH(#REF!,Data!$H$23:$J$23,1)),0)</f>
        <v>#REF!</v>
      </c>
      <c r="D17" t="str">
        <f>RIGHT(TRIM('DL 1'!G18),1)</f>
        <v>B</v>
      </c>
      <c r="E17" s="8">
        <f>'DL 1'!E18*'DL 1'!D18</f>
        <v>162000000</v>
      </c>
      <c r="F17" t="str">
        <f>_xlfn.IFNA(VLOOKUP(TRIM('DL 1'!G18),Data!$A:$C,3,0),"")</f>
        <v/>
      </c>
      <c r="G17" s="7">
        <f>'DL 1'!E18</f>
        <v>9000000</v>
      </c>
      <c r="H17" s="21">
        <f>_xlfn.IFNA(VLOOKUP(TRIM('DL 1'!G18),Data!$A:$D,4,0),0)</f>
        <v>0</v>
      </c>
      <c r="I17" t="e">
        <f>_xlfn.IFNA(INDEX(Data!$G$5:$K$10,MATCH('DL 1'!D18,Data!$F$5:$F$10,1),MATCH(_xlfn.SINGLE(#REF!),Data!$G$4:$K$4,1)),0)</f>
        <v>#REF!</v>
      </c>
      <c r="J17">
        <f>_xlfn.IFNA(IF(VLOOKUP(TRIM('DL 1'!G18),Data!$A:$C,3,0)="ST1",H17*I17*G17,IF(VLOOKUP(TRIM('DL 1'!G18),Data!$A:$C,3,0)="IR0",H17*G17,MIN(H17:I17)*G17)),0)</f>
        <v>0</v>
      </c>
      <c r="K17" t="e">
        <f>_xlfn.IFNA(VLOOKUP(TRIM(#REF!),Data!$A:$D,4,0)*#REF!,0)</f>
        <v>#REF!</v>
      </c>
      <c r="L17">
        <f>IF(TRIM('DL 1'!G18)="EDCLNHT0IRNLI",20000,0)</f>
        <v>0</v>
      </c>
      <c r="M17">
        <f>IF(ISERROR(MATCH('DL 1'!A18,#REF!,0)),0,J17*2)</f>
        <v>0</v>
      </c>
      <c r="N17" t="e">
        <f>#REF!</f>
        <v>#REF!</v>
      </c>
      <c r="O17">
        <f>_xlfn.IFNA(VLOOKUP(RIGHT(VLOOKUP(TRIM('DL 1'!G18),Data!$A:$B,2,0),1),Data!$L$23:$M$30,2,0),0)</f>
        <v>0</v>
      </c>
      <c r="P17">
        <f t="shared" si="9"/>
        <v>1</v>
      </c>
      <c r="Q17" s="7">
        <f t="shared" si="1"/>
        <v>20000</v>
      </c>
      <c r="R17" s="27">
        <f>INCENTIVE!$E$8</f>
        <v>130000000</v>
      </c>
      <c r="S17">
        <f>'DL 1'!D18</f>
        <v>18</v>
      </c>
      <c r="T17" t="str">
        <f t="shared" si="2"/>
        <v>4</v>
      </c>
      <c r="V17" t="str">
        <f t="shared" si="3"/>
        <v>6</v>
      </c>
      <c r="W17">
        <f t="shared" si="4"/>
        <v>1.1499999999999999</v>
      </c>
      <c r="X17" s="7">
        <f>'DL 1'!E18</f>
        <v>9000000</v>
      </c>
      <c r="Y17" s="69" t="str">
        <f>'DL 1'!G18</f>
        <v>B</v>
      </c>
      <c r="Z17" s="50" t="e">
        <f>IF(AND(#REF!="1",Y17="A"),0.9,IF(AND(#REF!="1",Y17="B"),0.7,IF(AND(#REF!="1",Y17="C"),0,IF(AND(#REF!="1",Y17="D"),0,IF(AND(#REF!="2",Y17="A"),1.2,IF(AND(#REF!="2",Y17="B"),1,IF(AND(#REF!="2",Y17="C"),0.1,IF(AND(#REF!="2",Y17="D"),0,IF(AND(#REF!="3",Y17="A"),1.3,IF(AND(#REF!="3",Y17="B"),1.1,IF(AND(#REF!="3",Y17="C"),0.3,IF(AND(#REF!="3",Y17="D"),0,IF(AND(#REF!="4",Y17="A"),1.5,IF(AND(#REF!="4",Y17="B"),1.3,IF(AND(#REF!="4",Y17="C"),0.4,IF(AND(#REF!="4",Y17="D"),0,IF(AND(#REF!="5",Y17="A"),1.6,IF(AND(#REF!="5",Y17="B"),1.4,IF(AND(#REF!="5",Y17="C"),0.5,IF(AND(#REF!="5",Y17="D"),0,))))))))))))))))))))</f>
        <v>#REF!</v>
      </c>
      <c r="AC17">
        <f>_xlfn.IFNA(INDEX(Data!$H$66:$L$69,MATCH('DL 1'!D9,Data!$G$66:$G$69,1),MATCH(CONVERT!#REF!,Data!$H$65:$L$65,1)),0)</f>
        <v>0</v>
      </c>
      <c r="AD17" s="7">
        <f t="shared" si="5"/>
        <v>0</v>
      </c>
      <c r="AE17" t="str">
        <f>'DL 1'!F18</f>
        <v>Y</v>
      </c>
      <c r="AF17">
        <f>IFERROR(VLOOKUP(Y17,Data!$G$65:$K$79,4,0),"")</f>
        <v>1.1000000000000001</v>
      </c>
      <c r="AG17" s="51" t="e">
        <f>#REF!</f>
        <v>#REF!</v>
      </c>
      <c r="AK17">
        <f t="shared" si="6"/>
        <v>1</v>
      </c>
      <c r="AL17">
        <f t="shared" si="0"/>
        <v>1.3</v>
      </c>
      <c r="AM17" s="70">
        <f t="shared" si="7"/>
        <v>117000.00000000001</v>
      </c>
      <c r="AN17" s="7">
        <f t="shared" si="8"/>
        <v>20000</v>
      </c>
    </row>
    <row r="18" spans="1:40" x14ac:dyDescent="0.3">
      <c r="A18" s="50">
        <f>IF(D18="A",_xlfn.IFNA(INDEX(Data!$H$24:$J$28,MATCH('DL 1'!E19,Data!$G$24:$G$28,1),MATCH('DL 1'!D19,Data!$H$23:$J$23,1)),0),0)</f>
        <v>0</v>
      </c>
      <c r="B18">
        <f>IF('DL 1'!F19="Y",Q18,0)</f>
        <v>36000</v>
      </c>
      <c r="C18" t="e">
        <f>_xlfn.IFNA(INDEX(Data!$H$24:$J$28,MATCH(#REF!,Data!$G$24:$G$28,1),MATCH(#REF!,Data!$H$23:$J$23,1)),0)</f>
        <v>#REF!</v>
      </c>
      <c r="D18" t="str">
        <f>RIGHT(TRIM('DL 1'!G19),1)</f>
        <v>B</v>
      </c>
      <c r="E18" s="8">
        <f>'DL 1'!E19*'DL 1'!D19</f>
        <v>522000000</v>
      </c>
      <c r="F18" t="str">
        <f>_xlfn.IFNA(VLOOKUP(TRIM('DL 1'!G19),Data!$A:$C,3,0),"")</f>
        <v/>
      </c>
      <c r="G18" s="7">
        <f>'DL 1'!E19</f>
        <v>29000000</v>
      </c>
      <c r="H18" s="21">
        <f>_xlfn.IFNA(VLOOKUP(TRIM('DL 1'!G19),Data!$A:$D,4,0),0)</f>
        <v>0</v>
      </c>
      <c r="I18" t="e">
        <f>_xlfn.IFNA(INDEX(Data!$G$5:$K$10,MATCH('DL 1'!D19,Data!$F$5:$F$10,1),MATCH(_xlfn.SINGLE(#REF!),Data!$G$4:$K$4,1)),0)</f>
        <v>#REF!</v>
      </c>
      <c r="J18">
        <f>_xlfn.IFNA(IF(VLOOKUP(TRIM('DL 1'!G19),Data!$A:$C,3,0)="ST1",H18*I18*G18,IF(VLOOKUP(TRIM('DL 1'!G19),Data!$A:$C,3,0)="IR0",H18*G18,MIN(H18:I18)*G18)),0)</f>
        <v>0</v>
      </c>
      <c r="K18" t="e">
        <f>_xlfn.IFNA(VLOOKUP(TRIM(#REF!),Data!$A:$D,4,0)*#REF!,0)</f>
        <v>#REF!</v>
      </c>
      <c r="L18">
        <f>IF(TRIM('DL 1'!G19)="EDCLNHT0IRNLI",20000,0)</f>
        <v>0</v>
      </c>
      <c r="M18">
        <f>IF(ISERROR(MATCH('DL 1'!A19,#REF!,0)),0,J18*2)</f>
        <v>0</v>
      </c>
      <c r="N18" t="e">
        <f>#REF!</f>
        <v>#REF!</v>
      </c>
      <c r="O18">
        <f>_xlfn.IFNA(VLOOKUP(RIGHT(VLOOKUP(TRIM('DL 1'!G19),Data!$A:$B,2,0),1),Data!$L$23:$M$30,2,0),0)</f>
        <v>0</v>
      </c>
      <c r="P18">
        <f t="shared" si="9"/>
        <v>3</v>
      </c>
      <c r="Q18" s="7">
        <f t="shared" si="1"/>
        <v>36000</v>
      </c>
      <c r="R18" s="27">
        <f>INCENTIVE!$E$8</f>
        <v>130000000</v>
      </c>
      <c r="S18">
        <f>'DL 1'!D19</f>
        <v>18</v>
      </c>
      <c r="T18" t="str">
        <f t="shared" si="2"/>
        <v>4</v>
      </c>
      <c r="V18" t="str">
        <f t="shared" si="3"/>
        <v>6</v>
      </c>
      <c r="W18">
        <f t="shared" si="4"/>
        <v>1.1499999999999999</v>
      </c>
      <c r="X18" s="7">
        <f>'DL 1'!E19</f>
        <v>29000000</v>
      </c>
      <c r="Y18" s="69" t="str">
        <f>'DL 1'!G19</f>
        <v>B</v>
      </c>
      <c r="Z18" s="50" t="e">
        <f>IF(AND(#REF!="1",Y18="A"),0.9,IF(AND(#REF!="1",Y18="B"),0.7,IF(AND(#REF!="1",Y18="C"),0,IF(AND(#REF!="1",Y18="D"),0,IF(AND(#REF!="2",Y18="A"),1.2,IF(AND(#REF!="2",Y18="B"),1,IF(AND(#REF!="2",Y18="C"),0.1,IF(AND(#REF!="2",Y18="D"),0,IF(AND(#REF!="3",Y18="A"),1.3,IF(AND(#REF!="3",Y18="B"),1.1,IF(AND(#REF!="3",Y18="C"),0.3,IF(AND(#REF!="3",Y18="D"),0,IF(AND(#REF!="4",Y18="A"),1.5,IF(AND(#REF!="4",Y18="B"),1.3,IF(AND(#REF!="4",Y18="C"),0.4,IF(AND(#REF!="4",Y18="D"),0,IF(AND(#REF!="5",Y18="A"),1.6,IF(AND(#REF!="5",Y18="B"),1.4,IF(AND(#REF!="5",Y18="C"),0.5,IF(AND(#REF!="5",Y18="D"),0,))))))))))))))))))))</f>
        <v>#REF!</v>
      </c>
      <c r="AC18">
        <f>_xlfn.IFNA(INDEX(Data!$H$66:$L$69,MATCH('DL 1'!D10,Data!$G$66:$G$69,1),MATCH(CONVERT!#REF!,Data!$H$65:$L$65,1)),0)</f>
        <v>0</v>
      </c>
      <c r="AD18" s="7">
        <f t="shared" si="5"/>
        <v>0</v>
      </c>
      <c r="AE18" t="str">
        <f>'DL 1'!F19</f>
        <v>Y</v>
      </c>
      <c r="AF18">
        <f>IFERROR(VLOOKUP(Y18,Data!$G$65:$K$79,4,0),"")</f>
        <v>1.1000000000000001</v>
      </c>
      <c r="AG18" s="51" t="e">
        <f>#REF!</f>
        <v>#REF!</v>
      </c>
      <c r="AK18">
        <f t="shared" si="6"/>
        <v>3</v>
      </c>
      <c r="AL18">
        <f t="shared" si="0"/>
        <v>1.3</v>
      </c>
      <c r="AM18" s="70">
        <f t="shared" si="7"/>
        <v>377000.00000000006</v>
      </c>
      <c r="AN18" s="7">
        <f t="shared" si="8"/>
        <v>36000</v>
      </c>
    </row>
    <row r="19" spans="1:40" x14ac:dyDescent="0.3">
      <c r="A19" s="50">
        <f>IF(D19="A",_xlfn.IFNA(INDEX(Data!$H$24:$J$28,MATCH('DL 1'!E20,Data!$G$24:$G$28,1),MATCH('DL 1'!D20,Data!$H$23:$J$23,1)),0),0)</f>
        <v>0</v>
      </c>
      <c r="B19">
        <f>IF('DL 1'!F20="Y",Q19,0)</f>
        <v>20000</v>
      </c>
      <c r="C19" t="e">
        <f>_xlfn.IFNA(INDEX(Data!$H$24:$J$28,MATCH(#REF!,Data!$G$24:$G$28,1),MATCH(#REF!,Data!$H$23:$J$23,1)),0)</f>
        <v>#REF!</v>
      </c>
      <c r="D19" t="str">
        <f>RIGHT(TRIM('DL 1'!G20),1)</f>
        <v>C</v>
      </c>
      <c r="E19" s="8">
        <f>'DL 1'!E20*'DL 1'!D20</f>
        <v>162000000</v>
      </c>
      <c r="F19" t="str">
        <f>_xlfn.IFNA(VLOOKUP(TRIM('DL 1'!G20),Data!$A:$C,3,0),"")</f>
        <v/>
      </c>
      <c r="G19" s="7">
        <f>'DL 1'!E20</f>
        <v>9000000</v>
      </c>
      <c r="H19" s="21">
        <f>_xlfn.IFNA(VLOOKUP(TRIM('DL 1'!G20),Data!$A:$D,4,0),0)</f>
        <v>0</v>
      </c>
      <c r="I19" t="e">
        <f>_xlfn.IFNA(INDEX(Data!$G$5:$K$10,MATCH('DL 1'!D20,Data!$F$5:$F$10,1),MATCH(_xlfn.SINGLE(#REF!),Data!$G$4:$K$4,1)),0)</f>
        <v>#REF!</v>
      </c>
      <c r="J19">
        <f>_xlfn.IFNA(IF(VLOOKUP(TRIM('DL 1'!G20),Data!$A:$C,3,0)="ST1",H19*I19*G19,IF(VLOOKUP(TRIM('DL 1'!G20),Data!$A:$C,3,0)="IR0",H19*G19,MIN(H19:I19)*G19)),0)</f>
        <v>0</v>
      </c>
      <c r="K19" t="e">
        <f>_xlfn.IFNA(VLOOKUP(TRIM(#REF!),Data!$A:$D,4,0)*#REF!,0)</f>
        <v>#REF!</v>
      </c>
      <c r="L19">
        <f>IF(TRIM('DL 1'!G20)="EDCLNHT0IRNLI",20000,0)</f>
        <v>0</v>
      </c>
      <c r="M19">
        <f>IF(ISERROR(MATCH('DL 1'!A20,#REF!,0)),0,J19*2)</f>
        <v>0</v>
      </c>
      <c r="N19" t="e">
        <f>#REF!</f>
        <v>#REF!</v>
      </c>
      <c r="O19">
        <f>_xlfn.IFNA(VLOOKUP(RIGHT(VLOOKUP(TRIM('DL 1'!G20),Data!$A:$B,2,0),1),Data!$L$23:$M$30,2,0),0)</f>
        <v>0</v>
      </c>
      <c r="P19">
        <f t="shared" si="9"/>
        <v>1</v>
      </c>
      <c r="Q19" s="7">
        <f t="shared" si="1"/>
        <v>20000</v>
      </c>
      <c r="R19" s="27">
        <f>INCENTIVE!$E$8</f>
        <v>130000000</v>
      </c>
      <c r="S19">
        <f>'DL 1'!D20</f>
        <v>18</v>
      </c>
      <c r="T19" t="str">
        <f t="shared" si="2"/>
        <v>4</v>
      </c>
      <c r="V19" t="str">
        <f t="shared" si="3"/>
        <v>6</v>
      </c>
      <c r="W19">
        <f t="shared" si="4"/>
        <v>1.1499999999999999</v>
      </c>
      <c r="X19" s="7">
        <f>'DL 1'!E20</f>
        <v>9000000</v>
      </c>
      <c r="Y19" s="69" t="str">
        <f>'DL 1'!G20</f>
        <v>C</v>
      </c>
      <c r="Z19" s="50" t="e">
        <f>IF(AND(#REF!="1",Y19="A"),0.9,IF(AND(#REF!="1",Y19="B"),0.7,IF(AND(#REF!="1",Y19="C"),0,IF(AND(#REF!="1",Y19="D"),0,IF(AND(#REF!="2",Y19="A"),1.2,IF(AND(#REF!="2",Y19="B"),1,IF(AND(#REF!="2",Y19="C"),0.1,IF(AND(#REF!="2",Y19="D"),0,IF(AND(#REF!="3",Y19="A"),1.3,IF(AND(#REF!="3",Y19="B"),1.1,IF(AND(#REF!="3",Y19="C"),0.3,IF(AND(#REF!="3",Y19="D"),0,IF(AND(#REF!="4",Y19="A"),1.5,IF(AND(#REF!="4",Y19="B"),1.3,IF(AND(#REF!="4",Y19="C"),0.4,IF(AND(#REF!="4",Y19="D"),0,IF(AND(#REF!="5",Y19="A"),1.6,IF(AND(#REF!="5",Y19="B"),1.4,IF(AND(#REF!="5",Y19="C"),0.5,IF(AND(#REF!="5",Y19="D"),0,))))))))))))))))))))</f>
        <v>#REF!</v>
      </c>
      <c r="AC19">
        <f>_xlfn.IFNA(INDEX(Data!$H$66:$L$69,MATCH('DL 1'!D11,Data!$G$66:$G$69,1),MATCH(CONVERT!#REF!,Data!$H$65:$L$65,1)),0)</f>
        <v>0</v>
      </c>
      <c r="AD19" s="7">
        <f t="shared" si="5"/>
        <v>0</v>
      </c>
      <c r="AE19" t="str">
        <f>'DL 1'!F20</f>
        <v>Y</v>
      </c>
      <c r="AF19">
        <f>IFERROR(VLOOKUP(Y19,Data!$G$65:$K$79,4,0),"")</f>
        <v>0.3</v>
      </c>
      <c r="AG19" s="51" t="e">
        <f>#REF!</f>
        <v>#REF!</v>
      </c>
      <c r="AK19">
        <f t="shared" si="6"/>
        <v>1</v>
      </c>
      <c r="AL19">
        <f t="shared" si="0"/>
        <v>0.4</v>
      </c>
      <c r="AM19" s="70">
        <f t="shared" si="7"/>
        <v>36000</v>
      </c>
      <c r="AN19" s="7">
        <f t="shared" si="8"/>
        <v>20000</v>
      </c>
    </row>
    <row r="20" spans="1:40" x14ac:dyDescent="0.3">
      <c r="A20" s="50">
        <f>IF(D20="A",_xlfn.IFNA(INDEX(Data!$H$24:$J$28,MATCH('DL 1'!E21,Data!$G$24:$G$28,1),MATCH('DL 1'!D21,Data!$H$23:$J$23,1)),0),0)</f>
        <v>0</v>
      </c>
      <c r="B20">
        <f>IF('DL 1'!F21="Y",Q20,0)</f>
        <v>36000</v>
      </c>
      <c r="C20" t="e">
        <f>_xlfn.IFNA(INDEX(Data!$H$24:$J$28,MATCH(#REF!,Data!$G$24:$G$28,1),MATCH(#REF!,Data!$H$23:$J$23,1)),0)</f>
        <v>#REF!</v>
      </c>
      <c r="D20" t="str">
        <f>RIGHT(TRIM('DL 1'!G21),1)</f>
        <v>B</v>
      </c>
      <c r="E20" s="8">
        <f>'DL 1'!E21*'DL 1'!D21</f>
        <v>522000000</v>
      </c>
      <c r="F20" t="str">
        <f>_xlfn.IFNA(VLOOKUP(TRIM('DL 1'!G21),Data!$A:$C,3,0),"")</f>
        <v/>
      </c>
      <c r="G20" s="7">
        <f>'DL 1'!E21</f>
        <v>29000000</v>
      </c>
      <c r="H20" s="21">
        <f>_xlfn.IFNA(VLOOKUP(TRIM('DL 1'!G21),Data!$A:$D,4,0),0)</f>
        <v>0</v>
      </c>
      <c r="I20" t="e">
        <f>_xlfn.IFNA(INDEX(Data!$G$5:$K$10,MATCH('DL 1'!D21,Data!$F$5:$F$10,1),MATCH(_xlfn.SINGLE(#REF!),Data!$G$4:$K$4,1)),0)</f>
        <v>#REF!</v>
      </c>
      <c r="J20">
        <f>_xlfn.IFNA(IF(VLOOKUP(TRIM('DL 1'!G21),Data!$A:$C,3,0)="ST1",H20*I20*G20,IF(VLOOKUP(TRIM('DL 1'!G21),Data!$A:$C,3,0)="IR0",H20*G20,MIN(H20:I20)*G20)),0)</f>
        <v>0</v>
      </c>
      <c r="K20" t="e">
        <f>_xlfn.IFNA(VLOOKUP(TRIM(#REF!),Data!$A:$D,4,0)*#REF!,0)</f>
        <v>#REF!</v>
      </c>
      <c r="L20">
        <f>IF(TRIM('DL 1'!G21)="EDCLNHT0IRNLI",20000,0)</f>
        <v>0</v>
      </c>
      <c r="M20">
        <f>IF(ISERROR(MATCH('DL 1'!A21,#REF!,0)),0,J20*2)</f>
        <v>0</v>
      </c>
      <c r="N20" t="e">
        <f>#REF!</f>
        <v>#REF!</v>
      </c>
      <c r="O20">
        <f>_xlfn.IFNA(VLOOKUP(RIGHT(VLOOKUP(TRIM('DL 1'!G21),Data!$A:$B,2,0),1),Data!$L$23:$M$30,2,0),0)</f>
        <v>0</v>
      </c>
      <c r="P20">
        <f t="shared" si="9"/>
        <v>3</v>
      </c>
      <c r="Q20" s="7">
        <f t="shared" si="1"/>
        <v>36000</v>
      </c>
      <c r="R20" s="27">
        <f>INCENTIVE!$E$8</f>
        <v>130000000</v>
      </c>
      <c r="S20">
        <f>'DL 1'!D21</f>
        <v>18</v>
      </c>
      <c r="T20" t="str">
        <f t="shared" si="2"/>
        <v>4</v>
      </c>
      <c r="V20" t="str">
        <f t="shared" si="3"/>
        <v>6</v>
      </c>
      <c r="W20">
        <f t="shared" si="4"/>
        <v>1.1499999999999999</v>
      </c>
      <c r="X20" s="7">
        <f>'DL 1'!E21</f>
        <v>29000000</v>
      </c>
      <c r="Y20" s="69" t="str">
        <f>'DL 1'!G21</f>
        <v>B</v>
      </c>
      <c r="Z20" s="50" t="e">
        <f>IF(AND(#REF!="1",Y20="A"),0.9,IF(AND(#REF!="1",Y20="B"),0.7,IF(AND(#REF!="1",Y20="C"),0,IF(AND(#REF!="1",Y20="D"),0,IF(AND(#REF!="2",Y20="A"),1.2,IF(AND(#REF!="2",Y20="B"),1,IF(AND(#REF!="2",Y20="C"),0.1,IF(AND(#REF!="2",Y20="D"),0,IF(AND(#REF!="3",Y20="A"),1.3,IF(AND(#REF!="3",Y20="B"),1.1,IF(AND(#REF!="3",Y20="C"),0.3,IF(AND(#REF!="3",Y20="D"),0,IF(AND(#REF!="4",Y20="A"),1.5,IF(AND(#REF!="4",Y20="B"),1.3,IF(AND(#REF!="4",Y20="C"),0.4,IF(AND(#REF!="4",Y20="D"),0,IF(AND(#REF!="5",Y20="A"),1.6,IF(AND(#REF!="5",Y20="B"),1.4,IF(AND(#REF!="5",Y20="C"),0.5,IF(AND(#REF!="5",Y20="D"),0,))))))))))))))))))))</f>
        <v>#REF!</v>
      </c>
      <c r="AC20">
        <f>IFERROR(VLOOKUP(Y20,Data!$G$65:$L$69,2,0) *X20,"")</f>
        <v>20300000</v>
      </c>
      <c r="AD20" s="7">
        <f t="shared" si="5"/>
        <v>20300000</v>
      </c>
      <c r="AE20" t="str">
        <f>'DL 1'!F21</f>
        <v>Y</v>
      </c>
      <c r="AF20">
        <f>IFERROR(VLOOKUP(Y20,Data!$G$65:$K$79,4,0),"")</f>
        <v>1.1000000000000001</v>
      </c>
      <c r="AG20" s="51" t="e">
        <f>#REF!</f>
        <v>#REF!</v>
      </c>
      <c r="AK20">
        <f t="shared" si="6"/>
        <v>3</v>
      </c>
      <c r="AL20">
        <f t="shared" si="0"/>
        <v>1.3</v>
      </c>
      <c r="AM20" s="70">
        <f t="shared" si="7"/>
        <v>377000.00000000006</v>
      </c>
      <c r="AN20" s="7">
        <f t="shared" si="8"/>
        <v>36000</v>
      </c>
    </row>
    <row r="21" spans="1:40" x14ac:dyDescent="0.3">
      <c r="A21" s="50">
        <f>IF(D21="A",_xlfn.IFNA(INDEX(Data!$H$24:$J$28,MATCH('DL 1'!E22,Data!$G$24:$G$28,1),MATCH('DL 1'!D22,Data!$H$23:$J$23,1)),0),0)</f>
        <v>0</v>
      </c>
      <c r="B21">
        <f>IF('DL 1'!F22="Y",Q21,0)</f>
        <v>0</v>
      </c>
      <c r="C21" t="e">
        <f>_xlfn.IFNA(INDEX(Data!$H$24:$J$28,MATCH(#REF!,Data!$G$24:$G$28,1),MATCH(#REF!,Data!$H$23:$J$23,1)),0)</f>
        <v>#REF!</v>
      </c>
      <c r="D21" t="str">
        <f>RIGHT(TRIM('DL 1'!G22),1)</f>
        <v/>
      </c>
      <c r="E21" s="8">
        <f>'DL 1'!E22*'DL 1'!D22</f>
        <v>0</v>
      </c>
      <c r="F21" t="str">
        <f>_xlfn.IFNA(VLOOKUP(TRIM('DL 1'!G22),Data!$A:$C,3,0),"")</f>
        <v/>
      </c>
      <c r="G21" s="7">
        <f>'DL 1'!E22</f>
        <v>0</v>
      </c>
      <c r="H21" s="21">
        <f>_xlfn.IFNA(VLOOKUP(TRIM('DL 1'!G22),Data!$A:$D,4,0),0)</f>
        <v>0</v>
      </c>
      <c r="I21">
        <f>_xlfn.IFNA(INDEX(Data!$G$5:$K$10,MATCH('DL 1'!D22,Data!$F$5:$F$10,1),MATCH(_xlfn.SINGLE(#REF!),Data!$G$4:$K$4,1)),0)</f>
        <v>0</v>
      </c>
      <c r="J21">
        <f>_xlfn.IFNA(IF(VLOOKUP(TRIM('DL 1'!G22),Data!$A:$C,3,0)="ST1",H21*I21*G21,IF(VLOOKUP(TRIM('DL 1'!G22),Data!$A:$C,3,0)="IR0",H21*G21,MIN(H21:I21)*G21)),0)</f>
        <v>0</v>
      </c>
      <c r="K21" t="e">
        <f>_xlfn.IFNA(VLOOKUP(TRIM(#REF!),Data!$A:$D,4,0)*#REF!,0)</f>
        <v>#REF!</v>
      </c>
      <c r="L21">
        <f>IF(TRIM('DL 1'!G22)="EDCLNHT0IRNLI",20000,0)</f>
        <v>0</v>
      </c>
      <c r="M21">
        <f>IF(ISERROR(MATCH('DL 1'!A22,#REF!,0)),0,J21*2)</f>
        <v>0</v>
      </c>
      <c r="N21" t="e">
        <f>#REF!</f>
        <v>#REF!</v>
      </c>
      <c r="O21">
        <f>_xlfn.IFNA(VLOOKUP(RIGHT(VLOOKUP(TRIM('DL 1'!G22),Data!$A:$B,2,0),1),Data!$L$23:$M$30,2,0),0)</f>
        <v>0</v>
      </c>
      <c r="P21">
        <f t="shared" si="9"/>
        <v>0</v>
      </c>
      <c r="Q21" s="7" t="b">
        <f t="shared" si="1"/>
        <v>0</v>
      </c>
      <c r="R21" s="27">
        <f>INCENTIVE!$E$8</f>
        <v>130000000</v>
      </c>
      <c r="S21">
        <f>'DL 1'!D22</f>
        <v>0</v>
      </c>
      <c r="T21" t="str">
        <f t="shared" si="2"/>
        <v>1</v>
      </c>
      <c r="V21" t="str">
        <f t="shared" si="3"/>
        <v>1</v>
      </c>
      <c r="W21">
        <f t="shared" si="4"/>
        <v>0.25</v>
      </c>
      <c r="X21" s="7">
        <f>'DL 1'!E22</f>
        <v>0</v>
      </c>
      <c r="Y21" s="69">
        <f>'DL 1'!G22</f>
        <v>0</v>
      </c>
      <c r="Z21" s="50" t="e">
        <f>IF(AND(#REF!="1",Y21="A"),0.9,IF(AND(#REF!="1",Y21="B"),0.7,IF(AND(#REF!="1",Y21="C"),0,IF(AND(#REF!="1",Y21="D"),0,IF(AND(#REF!="2",Y21="A"),1.2,IF(AND(#REF!="2",Y21="B"),1,IF(AND(#REF!="2",Y21="C"),0.1,IF(AND(#REF!="2",Y21="D"),0,IF(AND(#REF!="3",Y21="A"),1.3,IF(AND(#REF!="3",Y21="B"),1.1,IF(AND(#REF!="3",Y21="C"),0.3,IF(AND(#REF!="3",Y21="D"),0,IF(AND(#REF!="4",Y21="A"),1.5,IF(AND(#REF!="4",Y21="B"),1.3,IF(AND(#REF!="4",Y21="C"),0.4,IF(AND(#REF!="4",Y21="D"),0,IF(AND(#REF!="5",Y21="A"),1.6,IF(AND(#REF!="5",Y21="B"),1.4,IF(AND(#REF!="5",Y21="C"),0.5,IF(AND(#REF!="5",Y21="D"),0,))))))))))))))))))))</f>
        <v>#REF!</v>
      </c>
      <c r="AC21" t="str">
        <f>IFERROR(VLOOKUP(Y21,Data!$G$65:$L$69,2,0) *X21,"")</f>
        <v/>
      </c>
      <c r="AD21" s="7">
        <f t="shared" si="5"/>
        <v>0</v>
      </c>
      <c r="AE21">
        <f>'DL 1'!F22</f>
        <v>0</v>
      </c>
      <c r="AF21" t="str">
        <f>IFERROR(VLOOKUP(Y21,Data!$G$65:$K$79,4,0),"")</f>
        <v/>
      </c>
      <c r="AG21" s="51" t="e">
        <f>#REF!</f>
        <v>#REF!</v>
      </c>
      <c r="AK21">
        <f t="shared" si="6"/>
        <v>0</v>
      </c>
      <c r="AL21">
        <f t="shared" si="0"/>
        <v>0</v>
      </c>
      <c r="AM21" s="70">
        <f t="shared" si="7"/>
        <v>0</v>
      </c>
      <c r="AN21" s="7" t="b">
        <f t="shared" si="8"/>
        <v>0</v>
      </c>
    </row>
    <row r="22" spans="1:40" x14ac:dyDescent="0.3">
      <c r="A22" s="50">
        <f>IF(D22="A",_xlfn.IFNA(INDEX(Data!$H$24:$J$28,MATCH('DL 1'!E23,Data!$G$24:$G$28,1),MATCH('DL 1'!D23,Data!$H$23:$J$23,1)),0),0)</f>
        <v>0</v>
      </c>
      <c r="B22">
        <f>IF('DL 1'!F23="Y",Q22,0)</f>
        <v>0</v>
      </c>
      <c r="C22" t="e">
        <f>_xlfn.IFNA(INDEX(Data!$H$24:$J$28,MATCH(#REF!,Data!$G$24:$G$28,1),MATCH(#REF!,Data!$H$23:$J$23,1)),0)</f>
        <v>#REF!</v>
      </c>
      <c r="D22" t="str">
        <f>RIGHT(TRIM('DL 1'!G23),1)</f>
        <v/>
      </c>
      <c r="E22" s="8">
        <f>'DL 1'!E23*'DL 1'!D23</f>
        <v>0</v>
      </c>
      <c r="F22" t="str">
        <f>_xlfn.IFNA(VLOOKUP(TRIM('DL 1'!G23),Data!$A:$C,3,0),"")</f>
        <v/>
      </c>
      <c r="G22" s="7">
        <f>'DL 1'!E23</f>
        <v>0</v>
      </c>
      <c r="H22" s="21">
        <f>_xlfn.IFNA(VLOOKUP(TRIM('DL 1'!G23),Data!$A:$D,4,0),0)</f>
        <v>0</v>
      </c>
      <c r="I22">
        <f>_xlfn.IFNA(INDEX(Data!$G$5:$K$10,MATCH('DL 1'!D23,Data!$F$5:$F$10,1),MATCH(_xlfn.SINGLE(#REF!),Data!$G$4:$K$4,1)),0)</f>
        <v>0</v>
      </c>
      <c r="J22">
        <f>_xlfn.IFNA(IF(VLOOKUP(TRIM('DL 1'!G23),Data!$A:$C,3,0)="ST1",H22*I22*G22,IF(VLOOKUP(TRIM('DL 1'!G23),Data!$A:$C,3,0)="IR0",H22*G22,MIN(H22:I22)*G22)),0)</f>
        <v>0</v>
      </c>
      <c r="K22" t="e">
        <f>_xlfn.IFNA(VLOOKUP(TRIM(#REF!),Data!$A:$D,4,0)*#REF!,0)</f>
        <v>#REF!</v>
      </c>
      <c r="L22">
        <f>IF(TRIM('DL 1'!G23)="EDCLNHT0IRNLI",20000,0)</f>
        <v>0</v>
      </c>
      <c r="M22">
        <f>IF(ISERROR(MATCH('DL 1'!A23,#REF!,0)),0,J22*2)</f>
        <v>0</v>
      </c>
      <c r="N22" t="e">
        <f>#REF!</f>
        <v>#REF!</v>
      </c>
      <c r="O22">
        <f>_xlfn.IFNA(VLOOKUP(RIGHT(VLOOKUP(TRIM('DL 1'!G23),Data!$A:$B,2,0),1),Data!$L$23:$M$30,2,0),0)</f>
        <v>0</v>
      </c>
      <c r="P22">
        <f t="shared" si="9"/>
        <v>0</v>
      </c>
      <c r="Q22" s="7" t="b">
        <f t="shared" si="1"/>
        <v>0</v>
      </c>
      <c r="R22" s="27">
        <f>INCENTIVE!$E$8</f>
        <v>130000000</v>
      </c>
      <c r="S22">
        <f>'DL 1'!D23</f>
        <v>0</v>
      </c>
      <c r="T22" t="str">
        <f t="shared" si="2"/>
        <v>1</v>
      </c>
      <c r="V22" t="str">
        <f t="shared" si="3"/>
        <v>1</v>
      </c>
      <c r="W22">
        <f t="shared" si="4"/>
        <v>0.25</v>
      </c>
      <c r="X22" s="7">
        <f>'DL 1'!E23</f>
        <v>0</v>
      </c>
      <c r="Y22" s="69">
        <f>'DL 1'!G23</f>
        <v>0</v>
      </c>
      <c r="Z22" s="50" t="e">
        <f>IF(AND(#REF!="1",Y22="A"),0.9,IF(AND(#REF!="1",Y22="B"),0.7,IF(AND(#REF!="1",Y22="C"),0,IF(AND(#REF!="1",Y22="D"),0,IF(AND(#REF!="2",Y22="A"),1.2,IF(AND(#REF!="2",Y22="B"),1,IF(AND(#REF!="2",Y22="C"),0.1,IF(AND(#REF!="2",Y22="D"),0,IF(AND(#REF!="3",Y22="A"),1.3,IF(AND(#REF!="3",Y22="B"),1.1,IF(AND(#REF!="3",Y22="C"),0.3,IF(AND(#REF!="3",Y22="D"),0,IF(AND(#REF!="4",Y22="A"),1.5,IF(AND(#REF!="4",Y22="B"),1.3,IF(AND(#REF!="4",Y22="C"),0.4,IF(AND(#REF!="4",Y22="D"),0,IF(AND(#REF!="5",Y22="A"),1.6,IF(AND(#REF!="5",Y22="B"),1.4,IF(AND(#REF!="5",Y22="C"),0.5,IF(AND(#REF!="5",Y22="D"),0,))))))))))))))))))))</f>
        <v>#REF!</v>
      </c>
      <c r="AC22" t="str">
        <f>IFERROR(VLOOKUP(Y22,Data!$G$65:$L$69,2,0) *X22,"")</f>
        <v/>
      </c>
      <c r="AD22" s="7">
        <f t="shared" si="5"/>
        <v>0</v>
      </c>
      <c r="AE22">
        <f>'DL 1'!F23</f>
        <v>0</v>
      </c>
      <c r="AF22" t="str">
        <f>IFERROR(VLOOKUP(Y22,Data!$G$65:$K$79,4,0),"")</f>
        <v/>
      </c>
      <c r="AG22" s="51" t="e">
        <f>#REF!</f>
        <v>#REF!</v>
      </c>
      <c r="AK22">
        <f t="shared" si="6"/>
        <v>0</v>
      </c>
      <c r="AL22">
        <f t="shared" si="0"/>
        <v>0</v>
      </c>
      <c r="AM22" s="70">
        <f t="shared" si="7"/>
        <v>0</v>
      </c>
      <c r="AN22" s="7" t="b">
        <f t="shared" si="8"/>
        <v>0</v>
      </c>
    </row>
    <row r="23" spans="1:40" x14ac:dyDescent="0.3">
      <c r="A23" s="50">
        <f>IF(D23="A",_xlfn.IFNA(INDEX(Data!$H$24:$J$28,MATCH('DL 1'!E24,Data!$G$24:$G$28,1),MATCH('DL 1'!D24,Data!$H$23:$J$23,1)),0),0)</f>
        <v>0</v>
      </c>
      <c r="B23">
        <f>IF('DL 1'!F24="Y",Q23,0)</f>
        <v>0</v>
      </c>
      <c r="C23" t="e">
        <f>_xlfn.IFNA(INDEX(Data!$H$24:$J$28,MATCH(#REF!,Data!$G$24:$G$28,1),MATCH(#REF!,Data!$H$23:$J$23,1)),0)</f>
        <v>#REF!</v>
      </c>
      <c r="D23" t="str">
        <f>RIGHT(TRIM('DL 1'!G24),1)</f>
        <v/>
      </c>
      <c r="E23" s="8">
        <f>'DL 1'!E24*'DL 1'!D24</f>
        <v>0</v>
      </c>
      <c r="F23" t="str">
        <f>_xlfn.IFNA(VLOOKUP(TRIM('DL 1'!G24),Data!$A:$C,3,0),"")</f>
        <v/>
      </c>
      <c r="G23" s="7">
        <f>'DL 1'!E24</f>
        <v>0</v>
      </c>
      <c r="H23" s="21">
        <f>_xlfn.IFNA(VLOOKUP(TRIM('DL 1'!G24),Data!$A:$D,4,0),0)</f>
        <v>0</v>
      </c>
      <c r="I23">
        <f>_xlfn.IFNA(INDEX(Data!$G$5:$K$10,MATCH('DL 1'!D24,Data!$F$5:$F$10,1),MATCH(_xlfn.SINGLE(#REF!),Data!$G$4:$K$4,1)),0)</f>
        <v>0</v>
      </c>
      <c r="J23">
        <f>_xlfn.IFNA(IF(VLOOKUP(TRIM('DL 1'!G24),Data!$A:$C,3,0)="ST1",H23*I23*G23,IF(VLOOKUP(TRIM('DL 1'!G24),Data!$A:$C,3,0)="IR0",H23*G23,MIN(H23:I23)*G23)),0)</f>
        <v>0</v>
      </c>
      <c r="K23" t="e">
        <f>_xlfn.IFNA(VLOOKUP(TRIM(#REF!),Data!$A:$D,4,0)*#REF!,0)</f>
        <v>#REF!</v>
      </c>
      <c r="L23">
        <f>IF(TRIM('DL 1'!G24)="EDCLNHT0IRNLI",20000,0)</f>
        <v>0</v>
      </c>
      <c r="M23">
        <f>IF(ISERROR(MATCH('DL 1'!A24,#REF!,0)),0,J23*2)</f>
        <v>0</v>
      </c>
      <c r="N23" t="e">
        <f>#REF!</f>
        <v>#REF!</v>
      </c>
      <c r="O23">
        <f>_xlfn.IFNA(VLOOKUP(RIGHT(VLOOKUP(TRIM('DL 1'!G24),Data!$A:$B,2,0),1),Data!$L$23:$M$30,2,0),0)</f>
        <v>0</v>
      </c>
      <c r="P23">
        <f t="shared" si="9"/>
        <v>0</v>
      </c>
      <c r="Q23" s="7" t="b">
        <f t="shared" si="1"/>
        <v>0</v>
      </c>
      <c r="R23" s="27">
        <f>INCENTIVE!$E$8</f>
        <v>130000000</v>
      </c>
      <c r="S23">
        <f>'DL 1'!D24</f>
        <v>0</v>
      </c>
      <c r="T23" t="str">
        <f t="shared" si="2"/>
        <v>1</v>
      </c>
      <c r="V23" t="str">
        <f t="shared" si="3"/>
        <v>1</v>
      </c>
      <c r="W23">
        <f t="shared" si="4"/>
        <v>0.25</v>
      </c>
      <c r="X23" s="7">
        <f>'DL 1'!E24</f>
        <v>0</v>
      </c>
      <c r="Y23" s="69">
        <f>'DL 1'!G24</f>
        <v>0</v>
      </c>
      <c r="Z23" s="50" t="e">
        <f>IF(AND(#REF!="1",Y23="A"),0.9,IF(AND(#REF!="1",Y23="B"),0.7,IF(AND(#REF!="1",Y23="C"),0,IF(AND(#REF!="1",Y23="D"),0,IF(AND(#REF!="2",Y23="A"),1.2,IF(AND(#REF!="2",Y23="B"),1,IF(AND(#REF!="2",Y23="C"),0.1,IF(AND(#REF!="2",Y23="D"),0,IF(AND(#REF!="3",Y23="A"),1.3,IF(AND(#REF!="3",Y23="B"),1.1,IF(AND(#REF!="3",Y23="C"),0.3,IF(AND(#REF!="3",Y23="D"),0,IF(AND(#REF!="4",Y23="A"),1.5,IF(AND(#REF!="4",Y23="B"),1.3,IF(AND(#REF!="4",Y23="C"),0.4,IF(AND(#REF!="4",Y23="D"),0,IF(AND(#REF!="5",Y23="A"),1.6,IF(AND(#REF!="5",Y23="B"),1.4,IF(AND(#REF!="5",Y23="C"),0.5,IF(AND(#REF!="5",Y23="D"),0,))))))))))))))))))))</f>
        <v>#REF!</v>
      </c>
      <c r="AC23" t="str">
        <f>IFERROR(VLOOKUP(Y23,Data!$G$65:$L$69,2,0) *X23,"")</f>
        <v/>
      </c>
      <c r="AD23" s="7">
        <f t="shared" si="5"/>
        <v>0</v>
      </c>
      <c r="AE23">
        <f>'DL 1'!F24</f>
        <v>0</v>
      </c>
      <c r="AF23" t="str">
        <f>IFERROR(VLOOKUP(Y23,Data!$G$65:$K$79,4,0),"")</f>
        <v/>
      </c>
      <c r="AG23" s="51" t="e">
        <f>#REF!</f>
        <v>#REF!</v>
      </c>
      <c r="AK23">
        <f t="shared" si="6"/>
        <v>0</v>
      </c>
      <c r="AL23">
        <f t="shared" si="0"/>
        <v>0</v>
      </c>
      <c r="AM23" s="70">
        <f t="shared" si="7"/>
        <v>0</v>
      </c>
      <c r="AN23" s="7" t="b">
        <f t="shared" si="8"/>
        <v>0</v>
      </c>
    </row>
    <row r="24" spans="1:40" x14ac:dyDescent="0.3">
      <c r="A24" s="50">
        <f>IF(D24="A",_xlfn.IFNA(INDEX(Data!$H$24:$J$28,MATCH('DL 1'!E25,Data!$G$24:$G$28,1),MATCH('DL 1'!D25,Data!$H$23:$J$23,1)),0),0)</f>
        <v>0</v>
      </c>
      <c r="B24">
        <f>IF('DL 1'!F25="Y",Q24,0)</f>
        <v>0</v>
      </c>
      <c r="C24" t="e">
        <f>_xlfn.IFNA(INDEX(Data!$H$24:$J$28,MATCH(#REF!,Data!$G$24:$G$28,1),MATCH(#REF!,Data!$H$23:$J$23,1)),0)</f>
        <v>#REF!</v>
      </c>
      <c r="D24" t="str">
        <f>RIGHT(TRIM('DL 1'!G25),1)</f>
        <v/>
      </c>
      <c r="E24" s="8">
        <f>'DL 1'!E25*'DL 1'!D25</f>
        <v>0</v>
      </c>
      <c r="F24" t="str">
        <f>_xlfn.IFNA(VLOOKUP(TRIM('DL 1'!G25),Data!$A:$C,3,0),"")</f>
        <v/>
      </c>
      <c r="G24" s="7">
        <f>'DL 1'!E25</f>
        <v>0</v>
      </c>
      <c r="H24" s="21">
        <f>_xlfn.IFNA(VLOOKUP(TRIM('DL 1'!G25),Data!$A:$D,4,0),0)</f>
        <v>0</v>
      </c>
      <c r="I24">
        <f>_xlfn.IFNA(INDEX(Data!$G$5:$K$10,MATCH('DL 1'!D25,Data!$F$5:$F$10,1),MATCH(_xlfn.SINGLE(#REF!),Data!$G$4:$K$4,1)),0)</f>
        <v>0</v>
      </c>
      <c r="J24">
        <f>_xlfn.IFNA(IF(VLOOKUP(TRIM('DL 1'!G25),Data!$A:$C,3,0)="ST1",H24*I24*G24,IF(VLOOKUP(TRIM('DL 1'!G25),Data!$A:$C,3,0)="IR0",H24*G24,MIN(H24:I24)*G24)),0)</f>
        <v>0</v>
      </c>
      <c r="K24" t="e">
        <f>_xlfn.IFNA(VLOOKUP(TRIM(#REF!),Data!$A:$D,4,0)*#REF!,0)</f>
        <v>#REF!</v>
      </c>
      <c r="L24">
        <f>IF(TRIM('DL 1'!G25)="EDCLNHT0IRNLI",20000,0)</f>
        <v>0</v>
      </c>
      <c r="M24">
        <f>IF(ISERROR(MATCH('DL 1'!A25,#REF!,0)),0,J24*2)</f>
        <v>0</v>
      </c>
      <c r="N24" t="e">
        <f>#REF!</f>
        <v>#REF!</v>
      </c>
      <c r="O24">
        <f>_xlfn.IFNA(VLOOKUP(RIGHT(VLOOKUP(TRIM('DL 1'!G25),Data!$A:$B,2,0),1),Data!$L$23:$M$30,2,0),0)</f>
        <v>0</v>
      </c>
      <c r="P24">
        <f t="shared" si="9"/>
        <v>0</v>
      </c>
      <c r="Q24" s="7" t="b">
        <f t="shared" si="1"/>
        <v>0</v>
      </c>
      <c r="R24" s="27">
        <f>INCENTIVE!$E$8</f>
        <v>130000000</v>
      </c>
      <c r="S24">
        <f>'DL 1'!D25</f>
        <v>0</v>
      </c>
      <c r="T24" t="str">
        <f t="shared" si="2"/>
        <v>1</v>
      </c>
      <c r="V24" t="str">
        <f t="shared" si="3"/>
        <v>1</v>
      </c>
      <c r="W24">
        <f t="shared" si="4"/>
        <v>0.25</v>
      </c>
      <c r="X24" s="7">
        <f>'DL 1'!E25</f>
        <v>0</v>
      </c>
      <c r="Y24" s="69">
        <f>'DL 1'!G25</f>
        <v>0</v>
      </c>
      <c r="Z24" s="50" t="e">
        <f>IF(AND(#REF!="1",Y24="A"),0.9,IF(AND(#REF!="1",Y24="B"),0.7,IF(AND(#REF!="1",Y24="C"),0,IF(AND(#REF!="1",Y24="D"),0,IF(AND(#REF!="2",Y24="A"),1.2,IF(AND(#REF!="2",Y24="B"),1,IF(AND(#REF!="2",Y24="C"),0.1,IF(AND(#REF!="2",Y24="D"),0,IF(AND(#REF!="3",Y24="A"),1.3,IF(AND(#REF!="3",Y24="B"),1.1,IF(AND(#REF!="3",Y24="C"),0.3,IF(AND(#REF!="3",Y24="D"),0,IF(AND(#REF!="4",Y24="A"),1.5,IF(AND(#REF!="4",Y24="B"),1.3,IF(AND(#REF!="4",Y24="C"),0.4,IF(AND(#REF!="4",Y24="D"),0,IF(AND(#REF!="5",Y24="A"),1.6,IF(AND(#REF!="5",Y24="B"),1.4,IF(AND(#REF!="5",Y24="C"),0.5,IF(AND(#REF!="5",Y24="D"),0,))))))))))))))))))))</f>
        <v>#REF!</v>
      </c>
      <c r="AC24" t="str">
        <f>IFERROR(VLOOKUP(Y24,Data!$G$65:$L$69,2,0) *X24,"")</f>
        <v/>
      </c>
      <c r="AD24" s="7">
        <f t="shared" si="5"/>
        <v>0</v>
      </c>
      <c r="AE24">
        <f>'DL 1'!F25</f>
        <v>0</v>
      </c>
      <c r="AF24" t="str">
        <f>IFERROR(VLOOKUP(Y24,Data!$G$65:$K$79,4,0),"")</f>
        <v/>
      </c>
      <c r="AG24" s="51" t="e">
        <f>#REF!</f>
        <v>#REF!</v>
      </c>
      <c r="AK24">
        <f t="shared" si="6"/>
        <v>0</v>
      </c>
      <c r="AL24">
        <f t="shared" si="0"/>
        <v>0</v>
      </c>
      <c r="AM24" s="70">
        <f t="shared" si="7"/>
        <v>0</v>
      </c>
      <c r="AN24" s="7" t="b">
        <f t="shared" si="8"/>
        <v>0</v>
      </c>
    </row>
    <row r="25" spans="1:40" x14ac:dyDescent="0.3">
      <c r="A25" s="50">
        <f>IF(D25="A",_xlfn.IFNA(INDEX(Data!$H$24:$J$28,MATCH('DL 1'!E26,Data!$G$24:$G$28,1),MATCH('DL 1'!D26,Data!$H$23:$J$23,1)),0),0)</f>
        <v>0</v>
      </c>
      <c r="B25">
        <f>IF('DL 1'!F26="Y",Q25,0)</f>
        <v>0</v>
      </c>
      <c r="C25" t="e">
        <f>_xlfn.IFNA(INDEX(Data!$H$24:$J$28,MATCH(#REF!,Data!$G$24:$G$28,1),MATCH(#REF!,Data!$H$23:$J$23,1)),0)</f>
        <v>#REF!</v>
      </c>
      <c r="D25" t="str">
        <f>RIGHT(TRIM('DL 1'!G26),1)</f>
        <v/>
      </c>
      <c r="E25" s="8">
        <f>'DL 1'!E26*'DL 1'!D26</f>
        <v>0</v>
      </c>
      <c r="F25" t="str">
        <f>_xlfn.IFNA(VLOOKUP(TRIM('DL 1'!G26),Data!$A:$C,3,0),"")</f>
        <v/>
      </c>
      <c r="G25" s="7">
        <f>'DL 1'!E26</f>
        <v>0</v>
      </c>
      <c r="H25" s="21">
        <f>_xlfn.IFNA(VLOOKUP(TRIM('DL 1'!G26),Data!$A:$D,4,0),0)</f>
        <v>0</v>
      </c>
      <c r="I25">
        <f>_xlfn.IFNA(INDEX(Data!$G$5:$K$10,MATCH('DL 1'!D26,Data!$F$5:$F$10,1),MATCH(_xlfn.SINGLE(#REF!),Data!$G$4:$K$4,1)),0)</f>
        <v>0</v>
      </c>
      <c r="J25">
        <f>_xlfn.IFNA(IF(VLOOKUP(TRIM('DL 1'!G26),Data!$A:$C,3,0)="ST1",H25*I25*G25,IF(VLOOKUP(TRIM('DL 1'!G26),Data!$A:$C,3,0)="IR0",H25*G25,MIN(H25:I25)*G25)),0)</f>
        <v>0</v>
      </c>
      <c r="K25" t="e">
        <f>_xlfn.IFNA(VLOOKUP(TRIM(#REF!),Data!$A:$D,4,0)*#REF!,0)</f>
        <v>#REF!</v>
      </c>
      <c r="L25">
        <f>IF(TRIM('DL 1'!G26)="EDCLNHT0IRNLI",20000,0)</f>
        <v>0</v>
      </c>
      <c r="M25">
        <f>IF(ISERROR(MATCH('DL 1'!A26,#REF!,0)),0,J25*2)</f>
        <v>0</v>
      </c>
      <c r="N25" t="e">
        <f>#REF!</f>
        <v>#REF!</v>
      </c>
      <c r="O25">
        <f>_xlfn.IFNA(VLOOKUP(RIGHT(VLOOKUP(TRIM('DL 1'!G26),Data!$A:$B,2,0),1),Data!$L$23:$M$30,2,0),0)</f>
        <v>0</v>
      </c>
      <c r="P25">
        <f t="shared" si="9"/>
        <v>0</v>
      </c>
      <c r="Q25" s="7" t="b">
        <f t="shared" si="1"/>
        <v>0</v>
      </c>
      <c r="R25" s="27">
        <f>INCENTIVE!$E$8</f>
        <v>130000000</v>
      </c>
      <c r="S25">
        <f>'DL 1'!D26</f>
        <v>0</v>
      </c>
      <c r="T25" t="str">
        <f t="shared" si="2"/>
        <v>1</v>
      </c>
      <c r="V25" t="str">
        <f t="shared" si="3"/>
        <v>1</v>
      </c>
      <c r="W25">
        <f t="shared" si="4"/>
        <v>0.25</v>
      </c>
      <c r="X25" s="7">
        <f>'DL 1'!E26</f>
        <v>0</v>
      </c>
      <c r="Y25" s="69">
        <f>'DL 1'!G26</f>
        <v>0</v>
      </c>
      <c r="Z25" s="50" t="e">
        <f>IF(AND(#REF!="1",Y25="A"),0.9,IF(AND(#REF!="1",Y25="B"),0.7,IF(AND(#REF!="1",Y25="C"),0,IF(AND(#REF!="1",Y25="D"),0,IF(AND(#REF!="2",Y25="A"),1.2,IF(AND(#REF!="2",Y25="B"),1,IF(AND(#REF!="2",Y25="C"),0.1,IF(AND(#REF!="2",Y25="D"),0,IF(AND(#REF!="3",Y25="A"),1.3,IF(AND(#REF!="3",Y25="B"),1.1,IF(AND(#REF!="3",Y25="C"),0.3,IF(AND(#REF!="3",Y25="D"),0,IF(AND(#REF!="4",Y25="A"),1.5,IF(AND(#REF!="4",Y25="B"),1.3,IF(AND(#REF!="4",Y25="C"),0.4,IF(AND(#REF!="4",Y25="D"),0,IF(AND(#REF!="5",Y25="A"),1.6,IF(AND(#REF!="5",Y25="B"),1.4,IF(AND(#REF!="5",Y25="C"),0.5,IF(AND(#REF!="5",Y25="D"),0,))))))))))))))))))))</f>
        <v>#REF!</v>
      </c>
      <c r="AC25" t="str">
        <f>IFERROR(VLOOKUP(Y25,Data!$G$65:$L$69,2,0) *X25,"")</f>
        <v/>
      </c>
      <c r="AD25" s="7">
        <f t="shared" si="5"/>
        <v>0</v>
      </c>
      <c r="AE25">
        <f>'DL 1'!F26</f>
        <v>0</v>
      </c>
      <c r="AF25" t="str">
        <f>IFERROR(VLOOKUP(Y25,Data!$G$65:$K$79,4,0),"")</f>
        <v/>
      </c>
      <c r="AG25" s="51" t="e">
        <f>#REF!</f>
        <v>#REF!</v>
      </c>
      <c r="AK25">
        <f t="shared" si="6"/>
        <v>0</v>
      </c>
      <c r="AL25">
        <f t="shared" si="0"/>
        <v>0</v>
      </c>
      <c r="AM25" s="70">
        <f t="shared" si="7"/>
        <v>0</v>
      </c>
      <c r="AN25" s="7" t="b">
        <f t="shared" si="8"/>
        <v>0</v>
      </c>
    </row>
    <row r="26" spans="1:40" x14ac:dyDescent="0.3">
      <c r="A26" s="50">
        <f>IF(D26="A",_xlfn.IFNA(INDEX(Data!$H$24:$J$28,MATCH('DL 1'!E27,Data!$G$24:$G$28,1),MATCH('DL 1'!D27,Data!$H$23:$J$23,1)),0),0)</f>
        <v>0</v>
      </c>
      <c r="B26">
        <f>IF('DL 1'!F27="Y",Q26,0)</f>
        <v>0</v>
      </c>
      <c r="C26" t="e">
        <f>_xlfn.IFNA(INDEX(Data!$H$24:$J$28,MATCH(#REF!,Data!$G$24:$G$28,1),MATCH(#REF!,Data!$H$23:$J$23,1)),0)</f>
        <v>#REF!</v>
      </c>
      <c r="D26" t="str">
        <f>RIGHT(TRIM('DL 1'!G27),1)</f>
        <v/>
      </c>
      <c r="E26" s="8">
        <f>'DL 1'!E27*'DL 1'!D27</f>
        <v>0</v>
      </c>
      <c r="F26" t="str">
        <f>_xlfn.IFNA(VLOOKUP(TRIM('DL 1'!G27),Data!$A:$C,3,0),"")</f>
        <v/>
      </c>
      <c r="G26" s="7">
        <f>'DL 1'!E27</f>
        <v>0</v>
      </c>
      <c r="H26" s="21">
        <f>_xlfn.IFNA(VLOOKUP(TRIM('DL 1'!G27),Data!$A:$D,4,0),0)</f>
        <v>0</v>
      </c>
      <c r="I26">
        <f>_xlfn.IFNA(INDEX(Data!$G$5:$K$10,MATCH('DL 1'!D27,Data!$F$5:$F$10,1),MATCH(_xlfn.SINGLE(#REF!),Data!$G$4:$K$4,1)),0)</f>
        <v>0</v>
      </c>
      <c r="J26">
        <f>_xlfn.IFNA(IF(VLOOKUP(TRIM('DL 1'!G27),Data!$A:$C,3,0)="ST1",H26*I26*G26,IF(VLOOKUP(TRIM('DL 1'!G27),Data!$A:$C,3,0)="IR0",H26*G26,MIN(H26:I26)*G26)),0)</f>
        <v>0</v>
      </c>
      <c r="K26" t="e">
        <f>_xlfn.IFNA(VLOOKUP(TRIM(#REF!),Data!$A:$D,4,0)*#REF!,0)</f>
        <v>#REF!</v>
      </c>
      <c r="L26">
        <f>IF(TRIM('DL 1'!G27)="EDCLNHT0IRNLI",20000,0)</f>
        <v>0</v>
      </c>
      <c r="M26">
        <f>IF(ISERROR(MATCH('DL 1'!A27,#REF!,0)),0,J26*2)</f>
        <v>0</v>
      </c>
      <c r="N26" t="e">
        <f>#REF!</f>
        <v>#REF!</v>
      </c>
      <c r="O26">
        <f>_xlfn.IFNA(VLOOKUP(RIGHT(VLOOKUP(TRIM('DL 1'!G27),Data!$A:$B,2,0),1),Data!$L$23:$M$30,2,0),0)</f>
        <v>0</v>
      </c>
      <c r="P26">
        <f t="shared" si="9"/>
        <v>0</v>
      </c>
      <c r="Q26" s="7" t="b">
        <f t="shared" si="1"/>
        <v>0</v>
      </c>
      <c r="R26" s="27">
        <f>INCENTIVE!$E$8</f>
        <v>130000000</v>
      </c>
      <c r="S26">
        <f>'DL 1'!D27</f>
        <v>0</v>
      </c>
      <c r="T26" t="str">
        <f t="shared" si="2"/>
        <v>1</v>
      </c>
      <c r="V26" t="str">
        <f t="shared" si="3"/>
        <v>1</v>
      </c>
      <c r="W26">
        <f t="shared" si="4"/>
        <v>0.25</v>
      </c>
      <c r="X26" s="7">
        <f>'DL 1'!E27</f>
        <v>0</v>
      </c>
      <c r="Y26" s="69">
        <f>'DL 1'!G27</f>
        <v>0</v>
      </c>
      <c r="Z26" s="50" t="e">
        <f>IF(AND(#REF!="1",Y26="A"),0.9,IF(AND(#REF!="1",Y26="B"),0.7,IF(AND(#REF!="1",Y26="C"),0,IF(AND(#REF!="1",Y26="D"),0,IF(AND(#REF!="2",Y26="A"),1.2,IF(AND(#REF!="2",Y26="B"),1,IF(AND(#REF!="2",Y26="C"),0.1,IF(AND(#REF!="2",Y26="D"),0,IF(AND(#REF!="3",Y26="A"),1.3,IF(AND(#REF!="3",Y26="B"),1.1,IF(AND(#REF!="3",Y26="C"),0.3,IF(AND(#REF!="3",Y26="D"),0,IF(AND(#REF!="4",Y26="A"),1.5,IF(AND(#REF!="4",Y26="B"),1.3,IF(AND(#REF!="4",Y26="C"),0.4,IF(AND(#REF!="4",Y26="D"),0,IF(AND(#REF!="5",Y26="A"),1.6,IF(AND(#REF!="5",Y26="B"),1.4,IF(AND(#REF!="5",Y26="C"),0.5,IF(AND(#REF!="5",Y26="D"),0,))))))))))))))))))))</f>
        <v>#REF!</v>
      </c>
      <c r="AC26" t="str">
        <f>IFERROR(VLOOKUP(Y26,Data!$G$65:$L$69,2,0) *X26,"")</f>
        <v/>
      </c>
      <c r="AD26" s="7">
        <f t="shared" si="5"/>
        <v>0</v>
      </c>
      <c r="AE26">
        <f>'DL 1'!F27</f>
        <v>0</v>
      </c>
      <c r="AF26" t="str">
        <f>IFERROR(VLOOKUP(Y26,Data!$G$65:$K$79,4,0),"")</f>
        <v/>
      </c>
      <c r="AG26" s="51" t="e">
        <f>#REF!</f>
        <v>#REF!</v>
      </c>
      <c r="AK26">
        <f t="shared" si="6"/>
        <v>0</v>
      </c>
      <c r="AL26">
        <f t="shared" si="0"/>
        <v>0</v>
      </c>
      <c r="AM26" s="70">
        <f t="shared" si="7"/>
        <v>0</v>
      </c>
      <c r="AN26" s="7" t="b">
        <f t="shared" si="8"/>
        <v>0</v>
      </c>
    </row>
    <row r="27" spans="1:40" x14ac:dyDescent="0.3">
      <c r="A27" s="50">
        <f>IF(D27="A",_xlfn.IFNA(INDEX(Data!$H$24:$J$28,MATCH('DL 1'!E28,Data!$G$24:$G$28,1),MATCH('DL 1'!D28,Data!$H$23:$J$23,1)),0),0)</f>
        <v>0</v>
      </c>
      <c r="B27">
        <f>IF('DL 1'!F28="Y",Q27,0)</f>
        <v>0</v>
      </c>
      <c r="C27" t="e">
        <f>_xlfn.IFNA(INDEX(Data!$H$24:$J$28,MATCH(#REF!,Data!$G$24:$G$28,1),MATCH(#REF!,Data!$H$23:$J$23,1)),0)</f>
        <v>#REF!</v>
      </c>
      <c r="D27" t="str">
        <f>RIGHT(TRIM('DL 1'!G28),1)</f>
        <v/>
      </c>
      <c r="E27" s="8">
        <f>'DL 1'!E28*'DL 1'!D28</f>
        <v>0</v>
      </c>
      <c r="F27" t="str">
        <f>_xlfn.IFNA(VLOOKUP(TRIM('DL 1'!G28),Data!$A:$C,3,0),"")</f>
        <v/>
      </c>
      <c r="G27" s="7">
        <f>'DL 1'!E28</f>
        <v>0</v>
      </c>
      <c r="H27" s="21">
        <f>_xlfn.IFNA(VLOOKUP(TRIM('DL 1'!G28),Data!$A:$D,4,0),0)</f>
        <v>0</v>
      </c>
      <c r="I27">
        <f>_xlfn.IFNA(INDEX(Data!$G$5:$K$10,MATCH('DL 1'!D28,Data!$F$5:$F$10,1),MATCH(_xlfn.SINGLE(#REF!),Data!$G$4:$K$4,1)),0)</f>
        <v>0</v>
      </c>
      <c r="J27">
        <f>_xlfn.IFNA(IF(VLOOKUP(TRIM('DL 1'!G28),Data!$A:$C,3,0)="ST1",H27*I27*G27,IF(VLOOKUP(TRIM('DL 1'!G28),Data!$A:$C,3,0)="IR0",H27*G27,MIN(H27:I27)*G27)),0)</f>
        <v>0</v>
      </c>
      <c r="K27" t="e">
        <f>_xlfn.IFNA(VLOOKUP(TRIM(#REF!),Data!$A:$D,4,0)*#REF!,0)</f>
        <v>#REF!</v>
      </c>
      <c r="L27">
        <f>IF(TRIM('DL 1'!G28)="EDCLNHT0IRNLI",20000,0)</f>
        <v>0</v>
      </c>
      <c r="M27">
        <f>IF(ISERROR(MATCH('DL 1'!A28,#REF!,0)),0,J27*2)</f>
        <v>0</v>
      </c>
      <c r="N27" t="e">
        <f>#REF!</f>
        <v>#REF!</v>
      </c>
      <c r="O27">
        <f>_xlfn.IFNA(VLOOKUP(RIGHT(VLOOKUP(TRIM('DL 1'!G28),Data!$A:$B,2,0),1),Data!$L$23:$M$30,2,0),0)</f>
        <v>0</v>
      </c>
      <c r="P27">
        <f t="shared" si="9"/>
        <v>0</v>
      </c>
      <c r="Q27" s="7" t="b">
        <f t="shared" si="1"/>
        <v>0</v>
      </c>
      <c r="R27" s="27">
        <f>INCENTIVE!$E$8</f>
        <v>130000000</v>
      </c>
      <c r="S27">
        <f>'DL 1'!D28</f>
        <v>0</v>
      </c>
      <c r="T27" t="str">
        <f t="shared" si="2"/>
        <v>1</v>
      </c>
      <c r="V27" t="str">
        <f t="shared" si="3"/>
        <v>1</v>
      </c>
      <c r="W27">
        <f t="shared" si="4"/>
        <v>0.25</v>
      </c>
      <c r="X27" s="7">
        <f>'DL 1'!E28</f>
        <v>0</v>
      </c>
      <c r="Y27" s="69">
        <f>'DL 1'!G28</f>
        <v>0</v>
      </c>
      <c r="Z27" s="50" t="e">
        <f>IF(AND(#REF!="1",Y27="A"),0.9,IF(AND(#REF!="1",Y27="B"),0.7,IF(AND(#REF!="1",Y27="C"),0,IF(AND(#REF!="1",Y27="D"),0,IF(AND(#REF!="2",Y27="A"),1.2,IF(AND(#REF!="2",Y27="B"),1,IF(AND(#REF!="2",Y27="C"),0.1,IF(AND(#REF!="2",Y27="D"),0,IF(AND(#REF!="3",Y27="A"),1.3,IF(AND(#REF!="3",Y27="B"),1.1,IF(AND(#REF!="3",Y27="C"),0.3,IF(AND(#REF!="3",Y27="D"),0,IF(AND(#REF!="4",Y27="A"),1.5,IF(AND(#REF!="4",Y27="B"),1.3,IF(AND(#REF!="4",Y27="C"),0.4,IF(AND(#REF!="4",Y27="D"),0,IF(AND(#REF!="5",Y27="A"),1.6,IF(AND(#REF!="5",Y27="B"),1.4,IF(AND(#REF!="5",Y27="C"),0.5,IF(AND(#REF!="5",Y27="D"),0,))))))))))))))))))))</f>
        <v>#REF!</v>
      </c>
      <c r="AC27" t="str">
        <f>IFERROR(VLOOKUP(Y27,Data!$G$65:$L$69,2,0) *X27,"")</f>
        <v/>
      </c>
      <c r="AD27" s="7">
        <f t="shared" si="5"/>
        <v>0</v>
      </c>
      <c r="AE27">
        <f>'DL 1'!F28</f>
        <v>0</v>
      </c>
      <c r="AF27" t="str">
        <f>IFERROR(VLOOKUP(Y27,Data!$G$65:$K$79,4,0),"")</f>
        <v/>
      </c>
      <c r="AG27" s="51" t="e">
        <f>#REF!</f>
        <v>#REF!</v>
      </c>
      <c r="AK27">
        <f t="shared" si="6"/>
        <v>0</v>
      </c>
      <c r="AL27">
        <f t="shared" si="0"/>
        <v>0</v>
      </c>
      <c r="AM27" s="70">
        <f t="shared" si="7"/>
        <v>0</v>
      </c>
      <c r="AN27" s="7" t="b">
        <f t="shared" si="8"/>
        <v>0</v>
      </c>
    </row>
    <row r="28" spans="1:40" x14ac:dyDescent="0.3">
      <c r="A28" s="50">
        <f>IF(D28="A",_xlfn.IFNA(INDEX(Data!$H$24:$J$28,MATCH('DL 1'!E29,Data!$G$24:$G$28,1),MATCH('DL 1'!D29,Data!$H$23:$J$23,1)),0),0)</f>
        <v>0</v>
      </c>
      <c r="B28">
        <f>IF('DL 1'!F29="Y",Q28,0)</f>
        <v>0</v>
      </c>
      <c r="C28" t="e">
        <f>_xlfn.IFNA(INDEX(Data!$H$24:$J$28,MATCH(#REF!,Data!$G$24:$G$28,1),MATCH(#REF!,Data!$H$23:$J$23,1)),0)</f>
        <v>#REF!</v>
      </c>
      <c r="D28" t="str">
        <f>RIGHT(TRIM('DL 1'!G29),1)</f>
        <v/>
      </c>
      <c r="E28" s="8">
        <f>'DL 1'!E29*'DL 1'!D29</f>
        <v>0</v>
      </c>
      <c r="F28" t="str">
        <f>_xlfn.IFNA(VLOOKUP(TRIM('DL 1'!G29),Data!$A:$C,3,0),"")</f>
        <v/>
      </c>
      <c r="G28" s="7">
        <f>'DL 1'!E29</f>
        <v>0</v>
      </c>
      <c r="H28" s="21">
        <f>_xlfn.IFNA(VLOOKUP(TRIM('DL 1'!G29),Data!$A:$D,4,0),0)</f>
        <v>0</v>
      </c>
      <c r="I28">
        <f>_xlfn.IFNA(INDEX(Data!$G$5:$K$10,MATCH('DL 1'!D29,Data!$F$5:$F$10,1),MATCH(_xlfn.SINGLE(#REF!),Data!$G$4:$K$4,1)),0)</f>
        <v>0</v>
      </c>
      <c r="J28">
        <f>_xlfn.IFNA(IF(VLOOKUP(TRIM('DL 1'!G29),Data!$A:$C,3,0)="ST1",H28*I28*G28,IF(VLOOKUP(TRIM('DL 1'!G29),Data!$A:$C,3,0)="IR0",H28*G28,MIN(H28:I28)*G28)),0)</f>
        <v>0</v>
      </c>
      <c r="K28" t="e">
        <f>_xlfn.IFNA(VLOOKUP(TRIM(#REF!),Data!$A:$D,4,0)*#REF!,0)</f>
        <v>#REF!</v>
      </c>
      <c r="L28">
        <f>IF(TRIM('DL 1'!G29)="EDCLNHT0IRNLI",20000,0)</f>
        <v>0</v>
      </c>
      <c r="M28">
        <f>IF(ISERROR(MATCH('DL 1'!A29,#REF!,0)),0,J28*2)</f>
        <v>0</v>
      </c>
      <c r="N28" t="e">
        <f>#REF!</f>
        <v>#REF!</v>
      </c>
      <c r="O28">
        <f>_xlfn.IFNA(VLOOKUP(RIGHT(VLOOKUP(TRIM('DL 1'!G29),Data!$A:$B,2,0),1),Data!$L$23:$M$30,2,0),0)</f>
        <v>0</v>
      </c>
      <c r="P28">
        <f t="shared" si="9"/>
        <v>0</v>
      </c>
      <c r="Q28" s="7" t="b">
        <f t="shared" si="1"/>
        <v>0</v>
      </c>
      <c r="R28" s="27">
        <f>INCENTIVE!$E$8</f>
        <v>130000000</v>
      </c>
      <c r="S28">
        <f>'DL 1'!D29</f>
        <v>0</v>
      </c>
      <c r="T28" t="str">
        <f t="shared" si="2"/>
        <v>1</v>
      </c>
      <c r="V28" t="str">
        <f t="shared" si="3"/>
        <v>1</v>
      </c>
      <c r="W28">
        <f t="shared" si="4"/>
        <v>0.25</v>
      </c>
      <c r="X28" s="7">
        <f>'DL 1'!E29</f>
        <v>0</v>
      </c>
      <c r="Y28" s="69">
        <f>'DL 1'!G29</f>
        <v>0</v>
      </c>
      <c r="Z28" s="50" t="e">
        <f>IF(AND(#REF!="1",Y28="A"),0.9,IF(AND(#REF!="1",Y28="B"),0.7,IF(AND(#REF!="1",Y28="C"),0,IF(AND(#REF!="1",Y28="D"),0,IF(AND(#REF!="2",Y28="A"),1.2,IF(AND(#REF!="2",Y28="B"),1,IF(AND(#REF!="2",Y28="C"),0.1,IF(AND(#REF!="2",Y28="D"),0,IF(AND(#REF!="3",Y28="A"),1.3,IF(AND(#REF!="3",Y28="B"),1.1,IF(AND(#REF!="3",Y28="C"),0.3,IF(AND(#REF!="3",Y28="D"),0,IF(AND(#REF!="4",Y28="A"),1.5,IF(AND(#REF!="4",Y28="B"),1.3,IF(AND(#REF!="4",Y28="C"),0.4,IF(AND(#REF!="4",Y28="D"),0,IF(AND(#REF!="5",Y28="A"),1.6,IF(AND(#REF!="5",Y28="B"),1.4,IF(AND(#REF!="5",Y28="C"),0.5,IF(AND(#REF!="5",Y28="D"),0,))))))))))))))))))))</f>
        <v>#REF!</v>
      </c>
      <c r="AC28" t="str">
        <f>IFERROR(VLOOKUP(Y28,Data!$G$65:$L$69,2,0) *X28,"")</f>
        <v/>
      </c>
      <c r="AD28" s="7">
        <f t="shared" si="5"/>
        <v>0</v>
      </c>
      <c r="AE28">
        <f>'DL 1'!F29</f>
        <v>0</v>
      </c>
      <c r="AF28" t="str">
        <f>IFERROR(VLOOKUP(Y28,Data!$G$65:$K$79,4,0),"")</f>
        <v/>
      </c>
      <c r="AG28" s="51" t="e">
        <f>#REF!</f>
        <v>#REF!</v>
      </c>
      <c r="AK28">
        <f t="shared" si="6"/>
        <v>0</v>
      </c>
      <c r="AL28">
        <f t="shared" si="0"/>
        <v>0</v>
      </c>
      <c r="AM28" s="70">
        <f t="shared" si="7"/>
        <v>0</v>
      </c>
      <c r="AN28" s="7" t="b">
        <f t="shared" si="8"/>
        <v>0</v>
      </c>
    </row>
    <row r="29" spans="1:40" x14ac:dyDescent="0.3">
      <c r="A29" s="50">
        <f>IF(D29="A",_xlfn.IFNA(INDEX(Data!$H$24:$J$28,MATCH('DL 1'!E30,Data!$G$24:$G$28,1),MATCH('DL 1'!D30,Data!$H$23:$J$23,1)),0),0)</f>
        <v>0</v>
      </c>
      <c r="B29">
        <f>IF('DL 1'!F30="Y",Q29,0)</f>
        <v>0</v>
      </c>
      <c r="C29" t="e">
        <f>_xlfn.IFNA(INDEX(Data!$H$24:$J$28,MATCH(#REF!,Data!$G$24:$G$28,1),MATCH(#REF!,Data!$H$23:$J$23,1)),0)</f>
        <v>#REF!</v>
      </c>
      <c r="D29" t="str">
        <f>RIGHT(TRIM('DL 1'!G30),1)</f>
        <v/>
      </c>
      <c r="E29" s="8">
        <f>'DL 1'!E30*'DL 1'!D30</f>
        <v>0</v>
      </c>
      <c r="F29" t="str">
        <f>_xlfn.IFNA(VLOOKUP(TRIM('DL 1'!G30),Data!$A:$C,3,0),"")</f>
        <v/>
      </c>
      <c r="G29" s="7">
        <f>'DL 1'!E30</f>
        <v>0</v>
      </c>
      <c r="H29" s="21">
        <f>_xlfn.IFNA(VLOOKUP(TRIM('DL 1'!G30),Data!$A:$D,4,0),0)</f>
        <v>0</v>
      </c>
      <c r="I29">
        <f>_xlfn.IFNA(INDEX(Data!$G$5:$K$10,MATCH('DL 1'!D30,Data!$F$5:$F$10,1),MATCH(_xlfn.SINGLE(#REF!),Data!$G$4:$K$4,1)),0)</f>
        <v>0</v>
      </c>
      <c r="J29">
        <f>_xlfn.IFNA(IF(VLOOKUP(TRIM('DL 1'!G30),Data!$A:$C,3,0)="ST1",H29*I29*G29,IF(VLOOKUP(TRIM('DL 1'!G30),Data!$A:$C,3,0)="IR0",H29*G29,MIN(H29:I29)*G29)),0)</f>
        <v>0</v>
      </c>
      <c r="K29" t="e">
        <f>_xlfn.IFNA(VLOOKUP(TRIM(#REF!),Data!$A:$D,4,0)*#REF!,0)</f>
        <v>#REF!</v>
      </c>
      <c r="L29">
        <f>IF(TRIM('DL 1'!G30)="EDCLNHT0IRNLI",20000,0)</f>
        <v>0</v>
      </c>
      <c r="M29">
        <f>IF(ISERROR(MATCH('DL 1'!A30,#REF!,0)),0,J29*2)</f>
        <v>0</v>
      </c>
      <c r="N29" t="e">
        <f>#REF!</f>
        <v>#REF!</v>
      </c>
      <c r="O29">
        <f>_xlfn.IFNA(VLOOKUP(RIGHT(VLOOKUP(TRIM('DL 1'!G30),Data!$A:$B,2,0),1),Data!$L$23:$M$30,2,0),0)</f>
        <v>0</v>
      </c>
      <c r="P29">
        <f t="shared" si="9"/>
        <v>0</v>
      </c>
      <c r="Q29" s="7" t="b">
        <f t="shared" si="1"/>
        <v>0</v>
      </c>
      <c r="R29" s="27">
        <f>INCENTIVE!$E$8</f>
        <v>130000000</v>
      </c>
      <c r="S29">
        <f>'DL 1'!D30</f>
        <v>0</v>
      </c>
      <c r="T29" t="str">
        <f t="shared" si="2"/>
        <v>1</v>
      </c>
      <c r="V29" t="str">
        <f t="shared" si="3"/>
        <v>1</v>
      </c>
      <c r="W29">
        <f t="shared" si="4"/>
        <v>0.25</v>
      </c>
      <c r="X29" s="7">
        <f>'DL 1'!E30</f>
        <v>0</v>
      </c>
      <c r="Y29" s="69">
        <f>'DL 1'!G30</f>
        <v>0</v>
      </c>
      <c r="Z29" s="50" t="e">
        <f>IF(AND(#REF!="1",Y29="A"),0.9,IF(AND(#REF!="1",Y29="B"),0.7,IF(AND(#REF!="1",Y29="C"),0,IF(AND(#REF!="1",Y29="D"),0,IF(AND(#REF!="2",Y29="A"),1.2,IF(AND(#REF!="2",Y29="B"),1,IF(AND(#REF!="2",Y29="C"),0.1,IF(AND(#REF!="2",Y29="D"),0,IF(AND(#REF!="3",Y29="A"),1.3,IF(AND(#REF!="3",Y29="B"),1.1,IF(AND(#REF!="3",Y29="C"),0.3,IF(AND(#REF!="3",Y29="D"),0,IF(AND(#REF!="4",Y29="A"),1.5,IF(AND(#REF!="4",Y29="B"),1.3,IF(AND(#REF!="4",Y29="C"),0.4,IF(AND(#REF!="4",Y29="D"),0,IF(AND(#REF!="5",Y29="A"),1.6,IF(AND(#REF!="5",Y29="B"),1.4,IF(AND(#REF!="5",Y29="C"),0.5,IF(AND(#REF!="5",Y29="D"),0,))))))))))))))))))))</f>
        <v>#REF!</v>
      </c>
      <c r="AC29" t="str">
        <f>IFERROR(VLOOKUP(Y29,Data!$G$65:$L$69,2,0) *X29,"")</f>
        <v/>
      </c>
      <c r="AD29" s="7">
        <f t="shared" si="5"/>
        <v>0</v>
      </c>
      <c r="AE29">
        <f>'DL 1'!F30</f>
        <v>0</v>
      </c>
      <c r="AF29" t="str">
        <f>IFERROR(VLOOKUP(Y29,Data!$G$65:$K$79,4,0),"")</f>
        <v/>
      </c>
      <c r="AG29" s="51" t="e">
        <f>#REF!</f>
        <v>#REF!</v>
      </c>
      <c r="AK29">
        <f t="shared" si="6"/>
        <v>0</v>
      </c>
      <c r="AL29">
        <f t="shared" si="0"/>
        <v>0</v>
      </c>
      <c r="AM29" s="70">
        <f t="shared" si="7"/>
        <v>0</v>
      </c>
      <c r="AN29" s="7" t="b">
        <f t="shared" si="8"/>
        <v>0</v>
      </c>
    </row>
    <row r="30" spans="1:40" x14ac:dyDescent="0.3">
      <c r="A30" s="50">
        <f>IF(D30="A",_xlfn.IFNA(INDEX(Data!$H$24:$J$28,MATCH('DL 1'!E31,Data!$G$24:$G$28,1),MATCH('DL 1'!D31,Data!$H$23:$J$23,1)),0),0)</f>
        <v>0</v>
      </c>
      <c r="B30">
        <f>IF('DL 1'!F31="Y",Q30,0)</f>
        <v>0</v>
      </c>
      <c r="C30" t="e">
        <f>_xlfn.IFNA(INDEX(Data!$H$24:$J$28,MATCH(#REF!,Data!$G$24:$G$28,1),MATCH(#REF!,Data!$H$23:$J$23,1)),0)</f>
        <v>#REF!</v>
      </c>
      <c r="D30" t="str">
        <f>RIGHT(TRIM('DL 1'!G31),1)</f>
        <v/>
      </c>
      <c r="E30" s="8">
        <f>'DL 1'!E31*'DL 1'!D31</f>
        <v>0</v>
      </c>
      <c r="F30" t="str">
        <f>_xlfn.IFNA(VLOOKUP(TRIM('DL 1'!G31),Data!$A:$C,3,0),"")</f>
        <v/>
      </c>
      <c r="G30" s="7">
        <f>'DL 1'!E31</f>
        <v>0</v>
      </c>
      <c r="H30" s="21">
        <f>_xlfn.IFNA(VLOOKUP(TRIM('DL 1'!G31),Data!$A:$D,4,0),0)</f>
        <v>0</v>
      </c>
      <c r="I30">
        <f>_xlfn.IFNA(INDEX(Data!$G$5:$K$10,MATCH('DL 1'!D31,Data!$F$5:$F$10,1),MATCH(_xlfn.SINGLE(#REF!),Data!$G$4:$K$4,1)),0)</f>
        <v>0</v>
      </c>
      <c r="J30">
        <f>_xlfn.IFNA(IF(VLOOKUP(TRIM('DL 1'!G31),Data!$A:$C,3,0)="ST1",H30*I30*G30,IF(VLOOKUP(TRIM('DL 1'!G31),Data!$A:$C,3,0)="IR0",H30*G30,MIN(H30:I30)*G30)),0)</f>
        <v>0</v>
      </c>
      <c r="K30" t="e">
        <f>_xlfn.IFNA(VLOOKUP(TRIM(#REF!),Data!$A:$D,4,0)*#REF!,0)</f>
        <v>#REF!</v>
      </c>
      <c r="L30">
        <f>IF(TRIM('DL 1'!G31)="EDCLNHT0IRNLI",20000,0)</f>
        <v>0</v>
      </c>
      <c r="M30">
        <f>IF(ISERROR(MATCH('DL 1'!A31,#REF!,0)),0,J30*2)</f>
        <v>0</v>
      </c>
      <c r="N30" t="e">
        <f>#REF!</f>
        <v>#REF!</v>
      </c>
      <c r="O30">
        <f>_xlfn.IFNA(VLOOKUP(RIGHT(VLOOKUP(TRIM('DL 1'!G31),Data!$A:$B,2,0),1),Data!$L$23:$M$30,2,0),0)</f>
        <v>0</v>
      </c>
      <c r="P30">
        <f t="shared" si="9"/>
        <v>0</v>
      </c>
      <c r="Q30" s="7" t="b">
        <f t="shared" si="1"/>
        <v>0</v>
      </c>
      <c r="R30" s="27">
        <f>INCENTIVE!$E$8</f>
        <v>130000000</v>
      </c>
      <c r="S30">
        <f>'DL 1'!D31</f>
        <v>0</v>
      </c>
      <c r="T30" t="str">
        <f t="shared" si="2"/>
        <v>1</v>
      </c>
      <c r="V30" t="str">
        <f t="shared" si="3"/>
        <v>1</v>
      </c>
      <c r="W30">
        <f t="shared" si="4"/>
        <v>0.25</v>
      </c>
      <c r="X30" s="7">
        <f>'DL 1'!E31</f>
        <v>0</v>
      </c>
      <c r="Y30" s="69">
        <f>'DL 1'!G31</f>
        <v>0</v>
      </c>
      <c r="Z30" s="50" t="e">
        <f>IF(AND(#REF!="1",Y30="A"),0.9,IF(AND(#REF!="1",Y30="B"),0.7,IF(AND(#REF!="1",Y30="C"),0,IF(AND(#REF!="1",Y30="D"),0,IF(AND(#REF!="2",Y30="A"),1.2,IF(AND(#REF!="2",Y30="B"),1,IF(AND(#REF!="2",Y30="C"),0.1,IF(AND(#REF!="2",Y30="D"),0,IF(AND(#REF!="3",Y30="A"),1.3,IF(AND(#REF!="3",Y30="B"),1.1,IF(AND(#REF!="3",Y30="C"),0.3,IF(AND(#REF!="3",Y30="D"),0,IF(AND(#REF!="4",Y30="A"),1.5,IF(AND(#REF!="4",Y30="B"),1.3,IF(AND(#REF!="4",Y30="C"),0.4,IF(AND(#REF!="4",Y30="D"),0,IF(AND(#REF!="5",Y30="A"),1.6,IF(AND(#REF!="5",Y30="B"),1.4,IF(AND(#REF!="5",Y30="C"),0.5,IF(AND(#REF!="5",Y30="D"),0,))))))))))))))))))))</f>
        <v>#REF!</v>
      </c>
      <c r="AC30" t="str">
        <f>IFERROR(VLOOKUP(Y30,Data!$G$65:$L$69,2,0) *X30,"")</f>
        <v/>
      </c>
      <c r="AD30" s="7">
        <f t="shared" si="5"/>
        <v>0</v>
      </c>
      <c r="AE30">
        <f>'DL 1'!F31</f>
        <v>0</v>
      </c>
      <c r="AF30" t="str">
        <f>IFERROR(VLOOKUP(Y30,Data!$G$65:$K$79,4,0),"")</f>
        <v/>
      </c>
      <c r="AG30" s="51" t="e">
        <f>#REF!</f>
        <v>#REF!</v>
      </c>
      <c r="AK30">
        <f t="shared" si="6"/>
        <v>0</v>
      </c>
      <c r="AL30">
        <f t="shared" si="0"/>
        <v>0</v>
      </c>
      <c r="AM30" s="70">
        <f t="shared" si="7"/>
        <v>0</v>
      </c>
      <c r="AN30" s="7" t="b">
        <f t="shared" si="8"/>
        <v>0</v>
      </c>
    </row>
    <row r="31" spans="1:40" x14ac:dyDescent="0.3">
      <c r="A31" s="50">
        <f>IF(D31="A",_xlfn.IFNA(INDEX(Data!$H$24:$J$28,MATCH('DL 1'!E32,Data!$G$24:$G$28,1),MATCH('DL 1'!D32,Data!$H$23:$J$23,1)),0),0)</f>
        <v>0</v>
      </c>
      <c r="B31">
        <f>IF('DL 1'!F32="Y",Q31,0)</f>
        <v>0</v>
      </c>
      <c r="C31" t="e">
        <f>_xlfn.IFNA(INDEX(Data!$H$24:$J$28,MATCH(#REF!,Data!$G$24:$G$28,1),MATCH(#REF!,Data!$H$23:$J$23,1)),0)</f>
        <v>#REF!</v>
      </c>
      <c r="D31" t="str">
        <f>RIGHT(TRIM('DL 1'!G32),1)</f>
        <v/>
      </c>
      <c r="E31" s="8">
        <f>'DL 1'!E32*'DL 1'!D32</f>
        <v>0</v>
      </c>
      <c r="F31" t="str">
        <f>_xlfn.IFNA(VLOOKUP(TRIM('DL 1'!G32),Data!$A:$C,3,0),"")</f>
        <v/>
      </c>
      <c r="G31" s="7">
        <f>'DL 1'!E32</f>
        <v>0</v>
      </c>
      <c r="H31" s="21">
        <f>_xlfn.IFNA(VLOOKUP(TRIM('DL 1'!G32),Data!$A:$D,4,0),0)</f>
        <v>0</v>
      </c>
      <c r="I31">
        <f>_xlfn.IFNA(INDEX(Data!$G$5:$K$10,MATCH('DL 1'!D32,Data!$F$5:$F$10,1),MATCH(_xlfn.SINGLE(#REF!),Data!$G$4:$K$4,1)),0)</f>
        <v>0</v>
      </c>
      <c r="J31">
        <f>_xlfn.IFNA(IF(VLOOKUP(TRIM('DL 1'!G32),Data!$A:$C,3,0)="ST1",H31*I31*G31,IF(VLOOKUP(TRIM('DL 1'!G32),Data!$A:$C,3,0)="IR0",H31*G31,MIN(H31:I31)*G31)),0)</f>
        <v>0</v>
      </c>
      <c r="K31" t="e">
        <f>_xlfn.IFNA(VLOOKUP(TRIM(#REF!),Data!$A:$D,4,0)*#REF!,0)</f>
        <v>#REF!</v>
      </c>
      <c r="L31">
        <f>IF(TRIM('DL 1'!G32)="EDCLNHT0IRNLI",20000,0)</f>
        <v>0</v>
      </c>
      <c r="M31">
        <f>IF(ISERROR(MATCH('DL 1'!A32,#REF!,0)),0,J31*2)</f>
        <v>0</v>
      </c>
      <c r="N31" t="e">
        <f>#REF!</f>
        <v>#REF!</v>
      </c>
      <c r="O31">
        <f>_xlfn.IFNA(VLOOKUP(RIGHT(VLOOKUP(TRIM('DL 1'!G32),Data!$A:$B,2,0),1),Data!$L$23:$M$30,2,0),0)</f>
        <v>0</v>
      </c>
      <c r="P31">
        <f t="shared" si="9"/>
        <v>0</v>
      </c>
      <c r="Q31" s="7" t="b">
        <f t="shared" si="1"/>
        <v>0</v>
      </c>
      <c r="R31" s="27">
        <f>INCENTIVE!$E$8</f>
        <v>130000000</v>
      </c>
      <c r="S31">
        <f>'DL 1'!D32</f>
        <v>0</v>
      </c>
      <c r="T31" t="str">
        <f t="shared" si="2"/>
        <v>1</v>
      </c>
      <c r="V31" t="str">
        <f t="shared" si="3"/>
        <v>1</v>
      </c>
      <c r="W31">
        <f t="shared" si="4"/>
        <v>0.25</v>
      </c>
      <c r="X31" s="7">
        <f>'DL 1'!E32</f>
        <v>0</v>
      </c>
      <c r="Y31" s="69">
        <f>'DL 1'!G32</f>
        <v>0</v>
      </c>
      <c r="Z31" s="50" t="e">
        <f>IF(AND(#REF!="1",Y31="A"),0.9,IF(AND(#REF!="1",Y31="B"),0.7,IF(AND(#REF!="1",Y31="C"),0,IF(AND(#REF!="1",Y31="D"),0,IF(AND(#REF!="2",Y31="A"),1.2,IF(AND(#REF!="2",Y31="B"),1,IF(AND(#REF!="2",Y31="C"),0.1,IF(AND(#REF!="2",Y31="D"),0,IF(AND(#REF!="3",Y31="A"),1.3,IF(AND(#REF!="3",Y31="B"),1.1,IF(AND(#REF!="3",Y31="C"),0.3,IF(AND(#REF!="3",Y31="D"),0,IF(AND(#REF!="4",Y31="A"),1.5,IF(AND(#REF!="4",Y31="B"),1.3,IF(AND(#REF!="4",Y31="C"),0.4,IF(AND(#REF!="4",Y31="D"),0,IF(AND(#REF!="5",Y31="A"),1.6,IF(AND(#REF!="5",Y31="B"),1.4,IF(AND(#REF!="5",Y31="C"),0.5,IF(AND(#REF!="5",Y31="D"),0,))))))))))))))))))))</f>
        <v>#REF!</v>
      </c>
      <c r="AC31" t="str">
        <f>IFERROR(VLOOKUP(Y31,Data!$G$65:$L$69,2,0) *X31,"")</f>
        <v/>
      </c>
      <c r="AD31" s="7">
        <f t="shared" si="5"/>
        <v>0</v>
      </c>
      <c r="AE31">
        <f>'DL 1'!F32</f>
        <v>0</v>
      </c>
      <c r="AF31" t="str">
        <f>IFERROR(VLOOKUP(Y31,Data!$G$65:$K$79,4,0),"")</f>
        <v/>
      </c>
      <c r="AG31" s="51" t="e">
        <f>#REF!</f>
        <v>#REF!</v>
      </c>
      <c r="AK31">
        <f t="shared" si="6"/>
        <v>0</v>
      </c>
      <c r="AL31">
        <f t="shared" si="0"/>
        <v>0</v>
      </c>
      <c r="AM31" s="70">
        <f t="shared" si="7"/>
        <v>0</v>
      </c>
      <c r="AN31" s="7" t="b">
        <f t="shared" si="8"/>
        <v>0</v>
      </c>
    </row>
    <row r="32" spans="1:40" x14ac:dyDescent="0.3">
      <c r="A32" s="50">
        <f>IF(D32="A",_xlfn.IFNA(INDEX(Data!$H$24:$J$28,MATCH('DL 1'!E33,Data!$G$24:$G$28,1),MATCH('DL 1'!D33,Data!$H$23:$J$23,1)),0),0)</f>
        <v>0</v>
      </c>
      <c r="B32">
        <f>IF('DL 1'!F33="Y",Q32,0)</f>
        <v>0</v>
      </c>
      <c r="C32" t="e">
        <f>_xlfn.IFNA(INDEX(Data!$H$24:$J$28,MATCH(#REF!,Data!$G$24:$G$28,1),MATCH(#REF!,Data!$H$23:$J$23,1)),0)</f>
        <v>#REF!</v>
      </c>
      <c r="D32" t="str">
        <f>RIGHT(TRIM('DL 1'!G33),1)</f>
        <v/>
      </c>
      <c r="E32" s="8">
        <f>'DL 1'!E33*'DL 1'!D33</f>
        <v>0</v>
      </c>
      <c r="F32" t="str">
        <f>_xlfn.IFNA(VLOOKUP(TRIM('DL 1'!G33),Data!$A:$C,3,0),"")</f>
        <v/>
      </c>
      <c r="G32" s="7">
        <f>'DL 1'!E33</f>
        <v>0</v>
      </c>
      <c r="H32" s="21">
        <f>_xlfn.IFNA(VLOOKUP(TRIM('DL 1'!G33),Data!$A:$D,4,0),0)</f>
        <v>0</v>
      </c>
      <c r="I32">
        <f>_xlfn.IFNA(INDEX(Data!$G$5:$K$10,MATCH('DL 1'!D33,Data!$F$5:$F$10,1),MATCH(_xlfn.SINGLE(#REF!),Data!$G$4:$K$4,1)),0)</f>
        <v>0</v>
      </c>
      <c r="J32">
        <f>_xlfn.IFNA(IF(VLOOKUP(TRIM('DL 1'!G33),Data!$A:$C,3,0)="ST1",H32*I32*G32,IF(VLOOKUP(TRIM('DL 1'!G33),Data!$A:$C,3,0)="IR0",H32*G32,MIN(H32:I32)*G32)),0)</f>
        <v>0</v>
      </c>
      <c r="K32" t="e">
        <f>_xlfn.IFNA(VLOOKUP(TRIM(#REF!),Data!$A:$D,4,0)*#REF!,0)</f>
        <v>#REF!</v>
      </c>
      <c r="L32">
        <f>IF(TRIM('DL 1'!G33)="EDCLNHT0IRNLI",20000,0)</f>
        <v>0</v>
      </c>
      <c r="M32">
        <f>IF(ISERROR(MATCH('DL 1'!A33,#REF!,0)),0,J32*2)</f>
        <v>0</v>
      </c>
      <c r="N32" t="e">
        <f>#REF!</f>
        <v>#REF!</v>
      </c>
      <c r="O32">
        <f>_xlfn.IFNA(VLOOKUP(RIGHT(VLOOKUP(TRIM('DL 1'!G33),Data!$A:$B,2,0),1),Data!$L$23:$M$30,2,0),0)</f>
        <v>0</v>
      </c>
      <c r="P32">
        <f t="shared" si="9"/>
        <v>0</v>
      </c>
      <c r="Q32" s="7" t="b">
        <f t="shared" si="1"/>
        <v>0</v>
      </c>
      <c r="R32" s="27">
        <f>INCENTIVE!$E$8</f>
        <v>130000000</v>
      </c>
      <c r="S32">
        <f>'DL 1'!D33</f>
        <v>0</v>
      </c>
      <c r="T32" t="str">
        <f t="shared" si="2"/>
        <v>1</v>
      </c>
      <c r="V32" t="str">
        <f t="shared" si="3"/>
        <v>1</v>
      </c>
      <c r="W32">
        <f t="shared" si="4"/>
        <v>0.25</v>
      </c>
      <c r="X32" s="7">
        <f>'DL 1'!E33</f>
        <v>0</v>
      </c>
      <c r="Y32" s="69">
        <f>'DL 1'!G33</f>
        <v>0</v>
      </c>
      <c r="Z32" s="50" t="e">
        <f>IF(AND(#REF!="1",Y32="A"),0.9,IF(AND(#REF!="1",Y32="B"),0.7,IF(AND(#REF!="1",Y32="C"),0,IF(AND(#REF!="1",Y32="D"),0,IF(AND(#REF!="2",Y32="A"),1.2,IF(AND(#REF!="2",Y32="B"),1,IF(AND(#REF!="2",Y32="C"),0.1,IF(AND(#REF!="2",Y32="D"),0,IF(AND(#REF!="3",Y32="A"),1.3,IF(AND(#REF!="3",Y32="B"),1.1,IF(AND(#REF!="3",Y32="C"),0.3,IF(AND(#REF!="3",Y32="D"),0,IF(AND(#REF!="4",Y32="A"),1.5,IF(AND(#REF!="4",Y32="B"),1.3,IF(AND(#REF!="4",Y32="C"),0.4,IF(AND(#REF!="4",Y32="D"),0,IF(AND(#REF!="5",Y32="A"),1.6,IF(AND(#REF!="5",Y32="B"),1.4,IF(AND(#REF!="5",Y32="C"),0.5,IF(AND(#REF!="5",Y32="D"),0,))))))))))))))))))))</f>
        <v>#REF!</v>
      </c>
      <c r="AC32" t="str">
        <f>IFERROR(VLOOKUP(Y32,Data!$G$65:$L$69,2,0) *X32,"")</f>
        <v/>
      </c>
      <c r="AD32" s="7">
        <f t="shared" si="5"/>
        <v>0</v>
      </c>
      <c r="AE32">
        <f>'DL 1'!F33</f>
        <v>0</v>
      </c>
      <c r="AF32" t="str">
        <f>IFERROR(VLOOKUP(Y32,Data!$G$65:$K$79,4,0),"")</f>
        <v/>
      </c>
      <c r="AG32" s="51" t="e">
        <f>#REF!</f>
        <v>#REF!</v>
      </c>
      <c r="AK32">
        <f t="shared" si="6"/>
        <v>0</v>
      </c>
      <c r="AL32">
        <f t="shared" si="0"/>
        <v>0</v>
      </c>
      <c r="AM32" s="70">
        <f t="shared" si="7"/>
        <v>0</v>
      </c>
      <c r="AN32" s="7" t="b">
        <f t="shared" si="8"/>
        <v>0</v>
      </c>
    </row>
    <row r="33" spans="1:40" x14ac:dyDescent="0.3">
      <c r="A33" s="50">
        <f>IF(D33="A",_xlfn.IFNA(INDEX(Data!$H$24:$J$28,MATCH('DL 1'!E34,Data!$G$24:$G$28,1),MATCH('DL 1'!D34,Data!$H$23:$J$23,1)),0),0)</f>
        <v>0</v>
      </c>
      <c r="B33">
        <f>IF('DL 1'!F34="Y",Q33,0)</f>
        <v>0</v>
      </c>
      <c r="C33" t="e">
        <f>_xlfn.IFNA(INDEX(Data!$H$24:$J$28,MATCH(#REF!,Data!$G$24:$G$28,1),MATCH(#REF!,Data!$H$23:$J$23,1)),0)</f>
        <v>#REF!</v>
      </c>
      <c r="D33" t="str">
        <f>RIGHT(TRIM('DL 1'!G34),1)</f>
        <v/>
      </c>
      <c r="E33" s="8">
        <f>'DL 1'!E34*'DL 1'!D34</f>
        <v>0</v>
      </c>
      <c r="F33" t="str">
        <f>_xlfn.IFNA(VLOOKUP(TRIM('DL 1'!G34),Data!$A:$C,3,0),"")</f>
        <v/>
      </c>
      <c r="G33" s="7">
        <f>'DL 1'!E34</f>
        <v>0</v>
      </c>
      <c r="H33" s="21">
        <f>_xlfn.IFNA(VLOOKUP(TRIM('DL 1'!G34),Data!$A:$D,4,0),0)</f>
        <v>0</v>
      </c>
      <c r="I33">
        <f>_xlfn.IFNA(INDEX(Data!$G$5:$K$10,MATCH('DL 1'!D34,Data!$F$5:$F$10,1),MATCH(_xlfn.SINGLE(#REF!),Data!$G$4:$K$4,1)),0)</f>
        <v>0</v>
      </c>
      <c r="J33">
        <f>_xlfn.IFNA(IF(VLOOKUP(TRIM('DL 1'!G34),Data!$A:$C,3,0)="ST1",H33*I33*G33,IF(VLOOKUP(TRIM('DL 1'!G34),Data!$A:$C,3,0)="IR0",H33*G33,MIN(H33:I33)*G33)),0)</f>
        <v>0</v>
      </c>
      <c r="K33" t="e">
        <f>_xlfn.IFNA(VLOOKUP(TRIM(#REF!),Data!$A:$D,4,0)*#REF!,0)</f>
        <v>#REF!</v>
      </c>
      <c r="L33">
        <f>IF(TRIM('DL 1'!G34)="EDCLNHT0IRNLI",20000,0)</f>
        <v>0</v>
      </c>
      <c r="M33">
        <f>IF(ISERROR(MATCH('DL 1'!A34,#REF!,0)),0,J33*2)</f>
        <v>0</v>
      </c>
      <c r="N33" t="e">
        <f>#REF!</f>
        <v>#REF!</v>
      </c>
      <c r="O33">
        <f>_xlfn.IFNA(VLOOKUP(RIGHT(VLOOKUP(TRIM('DL 1'!G34),Data!$A:$B,2,0),1),Data!$L$23:$M$30,2,0),0)</f>
        <v>0</v>
      </c>
      <c r="P33">
        <f t="shared" si="9"/>
        <v>0</v>
      </c>
      <c r="Q33" s="7" t="b">
        <f t="shared" si="1"/>
        <v>0</v>
      </c>
      <c r="R33" s="27">
        <f>INCENTIVE!$E$8</f>
        <v>130000000</v>
      </c>
      <c r="S33">
        <f>'DL 1'!D34</f>
        <v>0</v>
      </c>
      <c r="T33" t="str">
        <f t="shared" si="2"/>
        <v>1</v>
      </c>
      <c r="V33" t="str">
        <f t="shared" si="3"/>
        <v>1</v>
      </c>
      <c r="W33">
        <f t="shared" si="4"/>
        <v>0.25</v>
      </c>
      <c r="X33" s="7">
        <f>'DL 1'!E34</f>
        <v>0</v>
      </c>
      <c r="Y33" s="69">
        <f>'DL 1'!G34</f>
        <v>0</v>
      </c>
      <c r="Z33" s="50" t="e">
        <f>IF(AND(#REF!="1",Y33="A"),0.9,IF(AND(#REF!="1",Y33="B"),0.7,IF(AND(#REF!="1",Y33="C"),0,IF(AND(#REF!="1",Y33="D"),0,IF(AND(#REF!="2",Y33="A"),1.2,IF(AND(#REF!="2",Y33="B"),1,IF(AND(#REF!="2",Y33="C"),0.1,IF(AND(#REF!="2",Y33="D"),0,IF(AND(#REF!="3",Y33="A"),1.3,IF(AND(#REF!="3",Y33="B"),1.1,IF(AND(#REF!="3",Y33="C"),0.3,IF(AND(#REF!="3",Y33="D"),0,IF(AND(#REF!="4",Y33="A"),1.5,IF(AND(#REF!="4",Y33="B"),1.3,IF(AND(#REF!="4",Y33="C"),0.4,IF(AND(#REF!="4",Y33="D"),0,IF(AND(#REF!="5",Y33="A"),1.6,IF(AND(#REF!="5",Y33="B"),1.4,IF(AND(#REF!="5",Y33="C"),0.5,IF(AND(#REF!="5",Y33="D"),0,))))))))))))))))))))</f>
        <v>#REF!</v>
      </c>
      <c r="AC33" t="str">
        <f>IFERROR(VLOOKUP(Y33,Data!$G$65:$L$69,2,0) *X33,"")</f>
        <v/>
      </c>
      <c r="AD33" s="7">
        <f t="shared" si="5"/>
        <v>0</v>
      </c>
      <c r="AE33">
        <f>'DL 1'!F34</f>
        <v>0</v>
      </c>
      <c r="AF33" t="str">
        <f>IFERROR(VLOOKUP(Y33,Data!$G$65:$K$79,4,0),"")</f>
        <v/>
      </c>
      <c r="AG33" s="51" t="e">
        <f>#REF!</f>
        <v>#REF!</v>
      </c>
      <c r="AK33">
        <f t="shared" si="6"/>
        <v>0</v>
      </c>
      <c r="AL33">
        <f t="shared" si="0"/>
        <v>0</v>
      </c>
      <c r="AM33" s="70">
        <f t="shared" si="7"/>
        <v>0</v>
      </c>
      <c r="AN33" s="7" t="b">
        <f t="shared" si="8"/>
        <v>0</v>
      </c>
    </row>
    <row r="34" spans="1:40" x14ac:dyDescent="0.3">
      <c r="A34" s="50">
        <f>IF(D34="A",_xlfn.IFNA(INDEX(Data!$H$24:$J$28,MATCH('DL 1'!E35,Data!$G$24:$G$28,1),MATCH('DL 1'!D35,Data!$H$23:$J$23,1)),0),0)</f>
        <v>0</v>
      </c>
      <c r="B34">
        <f>IF('DL 1'!F35="Y",Q34,0)</f>
        <v>0</v>
      </c>
      <c r="C34" t="e">
        <f>_xlfn.IFNA(INDEX(Data!$H$24:$J$28,MATCH(#REF!,Data!$G$24:$G$28,1),MATCH(#REF!,Data!$H$23:$J$23,1)),0)</f>
        <v>#REF!</v>
      </c>
      <c r="D34" t="str">
        <f>RIGHT(TRIM('DL 1'!G35),1)</f>
        <v/>
      </c>
      <c r="E34" s="8">
        <f>'DL 1'!E35*'DL 1'!D35</f>
        <v>0</v>
      </c>
      <c r="F34" t="str">
        <f>_xlfn.IFNA(VLOOKUP(TRIM('DL 1'!G35),Data!$A:$C,3,0),"")</f>
        <v/>
      </c>
      <c r="G34" s="7">
        <f>'DL 1'!E35</f>
        <v>0</v>
      </c>
      <c r="H34" s="21">
        <f>_xlfn.IFNA(VLOOKUP(TRIM('DL 1'!G35),Data!$A:$D,4,0),0)</f>
        <v>0</v>
      </c>
      <c r="I34">
        <f>_xlfn.IFNA(INDEX(Data!$G$5:$K$10,MATCH('DL 1'!D35,Data!$F$5:$F$10,1),MATCH(_xlfn.SINGLE(#REF!),Data!$G$4:$K$4,1)),0)</f>
        <v>0</v>
      </c>
      <c r="J34">
        <f>_xlfn.IFNA(IF(VLOOKUP(TRIM('DL 1'!G35),Data!$A:$C,3,0)="ST1",H34*I34*G34,IF(VLOOKUP(TRIM('DL 1'!G35),Data!$A:$C,3,0)="IR0",H34*G34,MIN(H34:I34)*G34)),0)</f>
        <v>0</v>
      </c>
      <c r="K34" t="e">
        <f>_xlfn.IFNA(VLOOKUP(TRIM(#REF!),Data!$A:$D,4,0)*#REF!,0)</f>
        <v>#REF!</v>
      </c>
      <c r="L34">
        <f>IF(TRIM('DL 1'!G35)="EDCLNHT0IRNLI",20000,0)</f>
        <v>0</v>
      </c>
      <c r="M34">
        <f>IF(ISERROR(MATCH('DL 1'!A35,#REF!,0)),0,J34*2)</f>
        <v>0</v>
      </c>
      <c r="N34" t="e">
        <f>#REF!</f>
        <v>#REF!</v>
      </c>
      <c r="O34">
        <f>_xlfn.IFNA(VLOOKUP(RIGHT(VLOOKUP(TRIM('DL 1'!G35),Data!$A:$B,2,0),1),Data!$L$23:$M$30,2,0),0)</f>
        <v>0</v>
      </c>
      <c r="P34">
        <f t="shared" si="9"/>
        <v>0</v>
      </c>
      <c r="Q34" s="7" t="b">
        <f t="shared" si="1"/>
        <v>0</v>
      </c>
      <c r="R34" s="27">
        <f>INCENTIVE!$E$8</f>
        <v>130000000</v>
      </c>
      <c r="S34">
        <f>'DL 1'!D35</f>
        <v>0</v>
      </c>
      <c r="T34" t="str">
        <f t="shared" si="2"/>
        <v>1</v>
      </c>
      <c r="V34" t="str">
        <f t="shared" si="3"/>
        <v>1</v>
      </c>
      <c r="W34">
        <f t="shared" si="4"/>
        <v>0.25</v>
      </c>
      <c r="X34" s="7">
        <f>'DL 1'!E35</f>
        <v>0</v>
      </c>
      <c r="Y34" s="69">
        <f>'DL 1'!G35</f>
        <v>0</v>
      </c>
      <c r="Z34" s="50" t="e">
        <f>IF(AND(#REF!="1",Y34="A"),0.9,IF(AND(#REF!="1",Y34="B"),0.7,IF(AND(#REF!="1",Y34="C"),0,IF(AND(#REF!="1",Y34="D"),0,IF(AND(#REF!="2",Y34="A"),1.2,IF(AND(#REF!="2",Y34="B"),1,IF(AND(#REF!="2",Y34="C"),0.1,IF(AND(#REF!="2",Y34="D"),0,IF(AND(#REF!="3",Y34="A"),1.3,IF(AND(#REF!="3",Y34="B"),1.1,IF(AND(#REF!="3",Y34="C"),0.3,IF(AND(#REF!="3",Y34="D"),0,IF(AND(#REF!="4",Y34="A"),1.5,IF(AND(#REF!="4",Y34="B"),1.3,IF(AND(#REF!="4",Y34="C"),0.4,IF(AND(#REF!="4",Y34="D"),0,IF(AND(#REF!="5",Y34="A"),1.6,IF(AND(#REF!="5",Y34="B"),1.4,IF(AND(#REF!="5",Y34="C"),0.5,IF(AND(#REF!="5",Y34="D"),0,))))))))))))))))))))</f>
        <v>#REF!</v>
      </c>
      <c r="AC34" t="str">
        <f>IFERROR(VLOOKUP(Y34,Data!$G$65:$L$69,2,0) *X34,"")</f>
        <v/>
      </c>
      <c r="AD34" s="7">
        <f t="shared" si="5"/>
        <v>0</v>
      </c>
      <c r="AE34">
        <f>'DL 1'!F35</f>
        <v>0</v>
      </c>
      <c r="AF34" t="str">
        <f>IFERROR(VLOOKUP(Y34,Data!$G$65:$K$79,4,0),"")</f>
        <v/>
      </c>
      <c r="AG34" s="51" t="e">
        <f>#REF!</f>
        <v>#REF!</v>
      </c>
      <c r="AK34">
        <f t="shared" si="6"/>
        <v>0</v>
      </c>
      <c r="AL34">
        <f t="shared" ref="AL34:AL66" si="10">IF(AND(S34&lt;12,Y34="A"),0.9,IF(AND(S34&lt;12,Y34="B"),0.7,IF(AND(S34&lt;12,Y34="C"),0,IF(AND(S34&lt;12,Y34="D"),0,IF(AND(S34&gt;=12,S34&lt;15,Y34="A"),1.2,IF(AND(S34&gt;=12,S34&lt;15,Y34="B"),1,IF(AND(S34&gt;=12,S34&lt;15,Y34="C"),0.1,IF(AND(S34&gt;=12,S34&lt;15,Y34="D"),0,IF(AND(S34&gt;=15,S34&lt;18,Y34="A"),1.3,IF(AND(S34&gt;=15,S34&lt;18,Y34="B"),1.1,IF(AND(S34&gt;=15,S34&lt;18,Y34="C"),0.3,IF(AND(S34&gt;=15,S34&lt;18,Y34="D"),0,IF(AND(S34&gt;=18,S34&lt;24,Y34="A"),1.5,IF(AND(S34&gt;=18,S34&lt;24,Y34="B"),1.3,IF(AND(S34&gt;=18,S34&lt;24,Y34="C"),0.4,IF(AND(S34&gt;=18,S34&lt;24,Y34="D"),0,IF(AND(S34&gt;=24,Y34="A"),1.6,IF(AND(S34&gt;=24,Y34="B"),1.4,IF(AND(S34&gt;=24,Y34="C"),0.5,IF(AND(S34&gt;=24,Y34="D"),0,))))))))))))))))))))</f>
        <v>0</v>
      </c>
      <c r="AM34" s="70">
        <f t="shared" si="7"/>
        <v>0</v>
      </c>
      <c r="AN34" s="7" t="b">
        <f t="shared" si="8"/>
        <v>0</v>
      </c>
    </row>
    <row r="35" spans="1:40" x14ac:dyDescent="0.3">
      <c r="A35" s="50">
        <f>IF(D35="A",_xlfn.IFNA(INDEX(Data!$H$24:$J$28,MATCH('DL 1'!E36,Data!$G$24:$G$28,1),MATCH('DL 1'!D36,Data!$H$23:$J$23,1)),0),0)</f>
        <v>0</v>
      </c>
      <c r="B35">
        <f>IF('DL 1'!F36="Y",Q35,0)</f>
        <v>0</v>
      </c>
      <c r="C35" t="e">
        <f>_xlfn.IFNA(INDEX(Data!$H$24:$J$28,MATCH(#REF!,Data!$G$24:$G$28,1),MATCH(#REF!,Data!$H$23:$J$23,1)),0)</f>
        <v>#REF!</v>
      </c>
      <c r="D35" t="str">
        <f>RIGHT(TRIM('DL 1'!G36),1)</f>
        <v/>
      </c>
      <c r="E35" s="8">
        <f>'DL 1'!E36*'DL 1'!D36</f>
        <v>0</v>
      </c>
      <c r="F35" t="str">
        <f>_xlfn.IFNA(VLOOKUP(TRIM('DL 1'!G36),Data!$A:$C,3,0),"")</f>
        <v/>
      </c>
      <c r="G35" s="7">
        <f>'DL 1'!E36</f>
        <v>0</v>
      </c>
      <c r="H35" s="21">
        <f>_xlfn.IFNA(VLOOKUP(TRIM('DL 1'!G36),Data!$A:$D,4,0),0)</f>
        <v>0</v>
      </c>
      <c r="I35">
        <f>_xlfn.IFNA(INDEX(Data!$G$5:$K$10,MATCH('DL 1'!D36,Data!$F$5:$F$10,1),MATCH(_xlfn.SINGLE(#REF!),Data!$G$4:$K$4,1)),0)</f>
        <v>0</v>
      </c>
      <c r="J35">
        <f>_xlfn.IFNA(IF(VLOOKUP(TRIM('DL 1'!G36),Data!$A:$C,3,0)="ST1",H35*I35*G35,IF(VLOOKUP(TRIM('DL 1'!G36),Data!$A:$C,3,0)="IR0",H35*G35,MIN(H35:I35)*G35)),0)</f>
        <v>0</v>
      </c>
      <c r="K35" t="e">
        <f>_xlfn.IFNA(VLOOKUP(TRIM(#REF!),Data!$A:$D,4,0)*#REF!,0)</f>
        <v>#REF!</v>
      </c>
      <c r="L35">
        <f>IF(TRIM('DL 1'!G36)="EDCLNHT0IRNLI",20000,0)</f>
        <v>0</v>
      </c>
      <c r="M35">
        <f>IF(ISERROR(MATCH('DL 1'!A36,#REF!,0)),0,J35*2)</f>
        <v>0</v>
      </c>
      <c r="N35" t="e">
        <f>#REF!</f>
        <v>#REF!</v>
      </c>
      <c r="O35">
        <f>_xlfn.IFNA(VLOOKUP(RIGHT(VLOOKUP(TRIM('DL 1'!G36),Data!$A:$B,2,0),1),Data!$L$23:$M$30,2,0),0)</f>
        <v>0</v>
      </c>
      <c r="P35">
        <f t="shared" si="9"/>
        <v>0</v>
      </c>
      <c r="Q35" s="7" t="b">
        <f t="shared" si="1"/>
        <v>0</v>
      </c>
      <c r="R35" s="27">
        <f>INCENTIVE!$E$8</f>
        <v>130000000</v>
      </c>
      <c r="S35">
        <f>'DL 1'!D36</f>
        <v>0</v>
      </c>
      <c r="T35" t="str">
        <f t="shared" si="2"/>
        <v>1</v>
      </c>
      <c r="V35" t="str">
        <f t="shared" si="3"/>
        <v>1</v>
      </c>
      <c r="W35">
        <f t="shared" si="4"/>
        <v>0.25</v>
      </c>
      <c r="X35" s="7">
        <f>'DL 1'!E36</f>
        <v>0</v>
      </c>
      <c r="Y35" s="69">
        <f>'DL 1'!G36</f>
        <v>0</v>
      </c>
      <c r="AC35" t="str">
        <f>IFERROR(VLOOKUP(Y35,Data!$G$65:$L$69,2,0) *X35,"")</f>
        <v/>
      </c>
      <c r="AD35" s="7">
        <f t="shared" si="5"/>
        <v>0</v>
      </c>
      <c r="AE35">
        <f>'DL 1'!F36</f>
        <v>0</v>
      </c>
      <c r="AF35" t="str">
        <f>IFERROR(VLOOKUP(Y35,Data!$G$65:$K$79,4,0),"")</f>
        <v/>
      </c>
      <c r="AG35" s="51" t="e">
        <f>#REF!</f>
        <v>#REF!</v>
      </c>
      <c r="AK35">
        <f t="shared" si="6"/>
        <v>0</v>
      </c>
      <c r="AL35">
        <f t="shared" si="10"/>
        <v>0</v>
      </c>
      <c r="AM35" s="70">
        <f t="shared" si="7"/>
        <v>0</v>
      </c>
      <c r="AN35" s="7" t="b">
        <f t="shared" si="8"/>
        <v>0</v>
      </c>
    </row>
    <row r="36" spans="1:40" x14ac:dyDescent="0.3">
      <c r="A36" s="50">
        <f>IF(D36="A",_xlfn.IFNA(INDEX(Data!$H$24:$J$28,MATCH('DL 1'!E37,Data!$G$24:$G$28,1),MATCH('DL 1'!D37,Data!$H$23:$J$23,1)),0),0)</f>
        <v>0</v>
      </c>
      <c r="B36">
        <f>IF('DL 1'!F37="Y",Q36,0)</f>
        <v>0</v>
      </c>
      <c r="C36" t="e">
        <f>_xlfn.IFNA(INDEX(Data!$H$24:$J$28,MATCH(#REF!,Data!$G$24:$G$28,1),MATCH(#REF!,Data!$H$23:$J$23,1)),0)</f>
        <v>#REF!</v>
      </c>
      <c r="D36" t="str">
        <f>RIGHT(TRIM('DL 1'!G37),1)</f>
        <v/>
      </c>
      <c r="E36" s="8">
        <f>'DL 1'!E37*'DL 1'!D37</f>
        <v>0</v>
      </c>
      <c r="F36" t="str">
        <f>_xlfn.IFNA(VLOOKUP(TRIM('DL 1'!G37),Data!$A:$C,3,0),"")</f>
        <v/>
      </c>
      <c r="G36" s="7">
        <f>'DL 1'!E37</f>
        <v>0</v>
      </c>
      <c r="H36" s="21">
        <f>_xlfn.IFNA(VLOOKUP(TRIM('DL 1'!G37),Data!$A:$D,4,0),0)</f>
        <v>0</v>
      </c>
      <c r="I36">
        <f>_xlfn.IFNA(INDEX(Data!$G$5:$K$10,MATCH('DL 1'!D37,Data!$F$5:$F$10,1),MATCH(_xlfn.SINGLE(#REF!),Data!$G$4:$K$4,1)),0)</f>
        <v>0</v>
      </c>
      <c r="J36">
        <f>_xlfn.IFNA(IF(VLOOKUP(TRIM('DL 1'!G37),Data!$A:$C,3,0)="ST1",H36*I36*G36,IF(VLOOKUP(TRIM('DL 1'!G37),Data!$A:$C,3,0)="IR0",H36*G36,MIN(H36:I36)*G36)),0)</f>
        <v>0</v>
      </c>
      <c r="K36" t="e">
        <f>_xlfn.IFNA(VLOOKUP(TRIM(#REF!),Data!$A:$D,4,0)*#REF!,0)</f>
        <v>#REF!</v>
      </c>
      <c r="L36">
        <f>IF(TRIM('DL 1'!G37)="EDCLNHT0IRNLI",20000,0)</f>
        <v>0</v>
      </c>
      <c r="M36">
        <f>IF(ISERROR(MATCH('DL 1'!A37,#REF!,0)),0,J36*2)</f>
        <v>0</v>
      </c>
      <c r="N36" t="e">
        <f>#REF!</f>
        <v>#REF!</v>
      </c>
      <c r="O36">
        <f>_xlfn.IFNA(VLOOKUP(RIGHT(VLOOKUP(TRIM('DL 1'!G37),Data!$A:$B,2,0),1),Data!$L$23:$M$30,2,0),0)</f>
        <v>0</v>
      </c>
      <c r="P36">
        <f t="shared" si="9"/>
        <v>0</v>
      </c>
      <c r="Q36" s="7" t="b">
        <f t="shared" si="1"/>
        <v>0</v>
      </c>
      <c r="R36" s="27">
        <f>INCENTIVE!$E$8</f>
        <v>130000000</v>
      </c>
      <c r="S36">
        <f>'DL 1'!D37</f>
        <v>0</v>
      </c>
      <c r="T36" t="str">
        <f t="shared" si="2"/>
        <v>1</v>
      </c>
      <c r="V36" t="str">
        <f t="shared" si="3"/>
        <v>1</v>
      </c>
      <c r="W36">
        <f t="shared" si="4"/>
        <v>0.25</v>
      </c>
      <c r="X36" s="7">
        <f>'DL 1'!E37</f>
        <v>0</v>
      </c>
      <c r="Y36" s="69">
        <f>'DL 1'!G37</f>
        <v>0</v>
      </c>
      <c r="AC36" t="str">
        <f>IFERROR(VLOOKUP(Y36,Data!$G$65:$L$69,2,0) *X36,"")</f>
        <v/>
      </c>
      <c r="AD36" s="7">
        <f t="shared" si="5"/>
        <v>0</v>
      </c>
      <c r="AE36">
        <f>'DL 1'!F37</f>
        <v>0</v>
      </c>
      <c r="AF36" t="str">
        <f>IFERROR(VLOOKUP(Y36,Data!$G$65:$K$79,4,0),"")</f>
        <v/>
      </c>
      <c r="AG36" s="51" t="e">
        <f>#REF!</f>
        <v>#REF!</v>
      </c>
      <c r="AK36">
        <f t="shared" si="6"/>
        <v>0</v>
      </c>
      <c r="AL36">
        <f t="shared" si="10"/>
        <v>0</v>
      </c>
      <c r="AM36" s="70">
        <f t="shared" si="7"/>
        <v>0</v>
      </c>
      <c r="AN36" s="7" t="b">
        <f t="shared" si="8"/>
        <v>0</v>
      </c>
    </row>
    <row r="37" spans="1:40" x14ac:dyDescent="0.3">
      <c r="A37" s="50">
        <f>IF(D37="A",_xlfn.IFNA(INDEX(Data!$H$24:$J$28,MATCH('DL 1'!E38,Data!$G$24:$G$28,1),MATCH('DL 1'!D38,Data!$H$23:$J$23,1)),0),0)</f>
        <v>0</v>
      </c>
      <c r="B37">
        <f>IF('DL 1'!F38="Y",Q37,0)</f>
        <v>0</v>
      </c>
      <c r="C37" t="e">
        <f>_xlfn.IFNA(INDEX(Data!$H$24:$J$28,MATCH(#REF!,Data!$G$24:$G$28,1),MATCH(#REF!,Data!$H$23:$J$23,1)),0)</f>
        <v>#REF!</v>
      </c>
      <c r="D37" t="str">
        <f>RIGHT(TRIM('DL 1'!G38),1)</f>
        <v/>
      </c>
      <c r="E37" s="8">
        <f>'DL 1'!E38*'DL 1'!D38</f>
        <v>0</v>
      </c>
      <c r="F37" t="str">
        <f>_xlfn.IFNA(VLOOKUP(TRIM('DL 1'!G38),Data!$A:$C,3,0),"")</f>
        <v/>
      </c>
      <c r="G37" s="7">
        <f>'DL 1'!E38</f>
        <v>0</v>
      </c>
      <c r="H37" s="21">
        <f>_xlfn.IFNA(VLOOKUP(TRIM('DL 1'!G38),Data!$A:$D,4,0),0)</f>
        <v>0</v>
      </c>
      <c r="I37">
        <f>_xlfn.IFNA(INDEX(Data!$G$5:$K$10,MATCH('DL 1'!D38,Data!$F$5:$F$10,1),MATCH(_xlfn.SINGLE(#REF!),Data!$G$4:$K$4,1)),0)</f>
        <v>0</v>
      </c>
      <c r="J37">
        <f>_xlfn.IFNA(IF(VLOOKUP(TRIM('DL 1'!G38),Data!$A:$C,3,0)="ST1",H37*I37*G37,IF(VLOOKUP(TRIM('DL 1'!G38),Data!$A:$C,3,0)="IR0",H37*G37,MIN(H37:I37)*G37)),0)</f>
        <v>0</v>
      </c>
      <c r="K37" t="e">
        <f>_xlfn.IFNA(VLOOKUP(TRIM(#REF!),Data!$A:$D,4,0)*#REF!,0)</f>
        <v>#REF!</v>
      </c>
      <c r="L37">
        <f>IF(TRIM('DL 1'!G38)="EDCLNHT0IRNLI",20000,0)</f>
        <v>0</v>
      </c>
      <c r="M37">
        <f>IF(ISERROR(MATCH('DL 1'!A38,#REF!,0)),0,J37*2)</f>
        <v>0</v>
      </c>
      <c r="N37" t="e">
        <f>#REF!</f>
        <v>#REF!</v>
      </c>
      <c r="O37">
        <f>_xlfn.IFNA(VLOOKUP(RIGHT(VLOOKUP(TRIM('DL 1'!G38),Data!$A:$B,2,0),1),Data!$L$23:$M$30,2,0),0)</f>
        <v>0</v>
      </c>
      <c r="P37">
        <f t="shared" si="9"/>
        <v>0</v>
      </c>
      <c r="Q37" s="7" t="b">
        <f t="shared" si="1"/>
        <v>0</v>
      </c>
      <c r="R37" s="27">
        <f>INCENTIVE!$E$8</f>
        <v>130000000</v>
      </c>
      <c r="S37">
        <f>'DL 1'!D38</f>
        <v>0</v>
      </c>
      <c r="T37" t="str">
        <f t="shared" si="2"/>
        <v>1</v>
      </c>
      <c r="V37" t="str">
        <f t="shared" si="3"/>
        <v>1</v>
      </c>
      <c r="W37">
        <f t="shared" si="4"/>
        <v>0.25</v>
      </c>
      <c r="X37" s="7">
        <f>'DL 1'!E38</f>
        <v>0</v>
      </c>
      <c r="Y37" s="69">
        <f>'DL 1'!G38</f>
        <v>0</v>
      </c>
      <c r="AC37" t="str">
        <f>IFERROR(VLOOKUP(Y37,Data!$G$65:$L$69,2,0) *X37,"")</f>
        <v/>
      </c>
      <c r="AD37" s="7">
        <f t="shared" si="5"/>
        <v>0</v>
      </c>
      <c r="AE37">
        <f>'DL 1'!F38</f>
        <v>0</v>
      </c>
      <c r="AF37" t="str">
        <f>IFERROR(VLOOKUP(Y37,Data!$G$65:$K$79,4,0),"")</f>
        <v/>
      </c>
      <c r="AG37" s="51" t="e">
        <f>#REF!</f>
        <v>#REF!</v>
      </c>
      <c r="AK37">
        <f t="shared" si="6"/>
        <v>0</v>
      </c>
      <c r="AL37">
        <f t="shared" si="10"/>
        <v>0</v>
      </c>
      <c r="AM37" s="70">
        <f t="shared" si="7"/>
        <v>0</v>
      </c>
      <c r="AN37" s="7" t="b">
        <f t="shared" si="8"/>
        <v>0</v>
      </c>
    </row>
    <row r="38" spans="1:40" x14ac:dyDescent="0.3">
      <c r="A38" s="50">
        <f>IF(D38="A",_xlfn.IFNA(INDEX(Data!$H$24:$J$28,MATCH('DL 1'!E39,Data!$G$24:$G$28,1),MATCH('DL 1'!D39,Data!$H$23:$J$23,1)),0),0)</f>
        <v>0</v>
      </c>
      <c r="B38">
        <f>IF('DL 1'!F39="Y",Q38,0)</f>
        <v>0</v>
      </c>
      <c r="C38" t="e">
        <f>_xlfn.IFNA(INDEX(Data!$H$24:$J$28,MATCH(#REF!,Data!$G$24:$G$28,1),MATCH(#REF!,Data!$H$23:$J$23,1)),0)</f>
        <v>#REF!</v>
      </c>
      <c r="D38" t="str">
        <f>RIGHT(TRIM('DL 1'!G39),1)</f>
        <v/>
      </c>
      <c r="E38" s="8">
        <f>'DL 1'!E39*'DL 1'!D39</f>
        <v>0</v>
      </c>
      <c r="F38" t="str">
        <f>_xlfn.IFNA(VLOOKUP(TRIM('DL 1'!G39),Data!$A:$C,3,0),"")</f>
        <v/>
      </c>
      <c r="G38" s="7">
        <f>'DL 1'!E39</f>
        <v>0</v>
      </c>
      <c r="H38" s="21">
        <f>_xlfn.IFNA(VLOOKUP(TRIM('DL 1'!G39),Data!$A:$D,4,0),0)</f>
        <v>0</v>
      </c>
      <c r="I38">
        <f>_xlfn.IFNA(INDEX(Data!$G$5:$K$10,MATCH('DL 1'!D39,Data!$F$5:$F$10,1),MATCH(_xlfn.SINGLE(#REF!),Data!$G$4:$K$4,1)),0)</f>
        <v>0</v>
      </c>
      <c r="J38">
        <f>_xlfn.IFNA(IF(VLOOKUP(TRIM('DL 1'!G39),Data!$A:$C,3,0)="ST1",H38*I38*G38,IF(VLOOKUP(TRIM('DL 1'!G39),Data!$A:$C,3,0)="IR0",H38*G38,MIN(H38:I38)*G38)),0)</f>
        <v>0</v>
      </c>
      <c r="K38" t="e">
        <f>_xlfn.IFNA(VLOOKUP(TRIM(#REF!),Data!$A:$D,4,0)*#REF!,0)</f>
        <v>#REF!</v>
      </c>
      <c r="L38">
        <f>IF(TRIM('DL 1'!G39)="EDCLNHT0IRNLI",20000,0)</f>
        <v>0</v>
      </c>
      <c r="M38">
        <f>IF(ISERROR(MATCH('DL 1'!A39,#REF!,0)),0,J38*2)</f>
        <v>0</v>
      </c>
      <c r="N38" t="e">
        <f>#REF!</f>
        <v>#REF!</v>
      </c>
      <c r="O38">
        <f>_xlfn.IFNA(VLOOKUP(RIGHT(VLOOKUP(TRIM('DL 1'!G39),Data!$A:$B,2,0),1),Data!$L$23:$M$30,2,0),0)</f>
        <v>0</v>
      </c>
      <c r="P38">
        <f t="shared" si="9"/>
        <v>0</v>
      </c>
      <c r="Q38" s="7" t="b">
        <f t="shared" si="1"/>
        <v>0</v>
      </c>
      <c r="R38" s="27">
        <f>INCENTIVE!$E$8</f>
        <v>130000000</v>
      </c>
      <c r="S38">
        <f>'DL 1'!D39</f>
        <v>0</v>
      </c>
      <c r="T38" t="str">
        <f t="shared" si="2"/>
        <v>1</v>
      </c>
      <c r="V38" t="str">
        <f t="shared" si="3"/>
        <v>1</v>
      </c>
      <c r="W38">
        <f t="shared" si="4"/>
        <v>0.25</v>
      </c>
      <c r="X38" s="7">
        <f>'DL 1'!E39</f>
        <v>0</v>
      </c>
      <c r="Y38" s="69">
        <f>'DL 1'!G39</f>
        <v>0</v>
      </c>
      <c r="AC38" t="str">
        <f>IFERROR(VLOOKUP(Y38,Data!$G$65:$L$69,2,0) *X38,"")</f>
        <v/>
      </c>
      <c r="AD38" s="7">
        <f t="shared" si="5"/>
        <v>0</v>
      </c>
      <c r="AE38">
        <f>'DL 1'!F39</f>
        <v>0</v>
      </c>
      <c r="AF38" t="str">
        <f>IFERROR(VLOOKUP(Y38,Data!$G$65:$K$79,4,0),"")</f>
        <v/>
      </c>
      <c r="AG38" s="51" t="e">
        <f>#REF!</f>
        <v>#REF!</v>
      </c>
      <c r="AK38">
        <f t="shared" si="6"/>
        <v>0</v>
      </c>
      <c r="AL38">
        <f t="shared" si="10"/>
        <v>0</v>
      </c>
      <c r="AM38" s="70">
        <f t="shared" si="7"/>
        <v>0</v>
      </c>
      <c r="AN38" s="7" t="b">
        <f t="shared" si="8"/>
        <v>0</v>
      </c>
    </row>
    <row r="39" spans="1:40" x14ac:dyDescent="0.3">
      <c r="A39" s="50">
        <f>IF(D39="A",_xlfn.IFNA(INDEX(Data!$H$24:$J$28,MATCH('DL 1'!E40,Data!$G$24:$G$28,1),MATCH('DL 1'!D40,Data!$H$23:$J$23,1)),0),0)</f>
        <v>0</v>
      </c>
      <c r="B39">
        <f>IF('DL 1'!F40="Y",Q39,0)</f>
        <v>0</v>
      </c>
      <c r="C39" t="e">
        <f>_xlfn.IFNA(INDEX(Data!$H$24:$J$28,MATCH(#REF!,Data!$G$24:$G$28,1),MATCH(#REF!,Data!$H$23:$J$23,1)),0)</f>
        <v>#REF!</v>
      </c>
      <c r="D39" t="str">
        <f>RIGHT(TRIM('DL 1'!G40),1)</f>
        <v/>
      </c>
      <c r="E39" s="8">
        <f>'DL 1'!E40*'DL 1'!D40</f>
        <v>0</v>
      </c>
      <c r="F39" t="str">
        <f>_xlfn.IFNA(VLOOKUP(TRIM('DL 1'!G40),Data!$A:$C,3,0),"")</f>
        <v/>
      </c>
      <c r="G39" s="7">
        <f>'DL 1'!E40</f>
        <v>0</v>
      </c>
      <c r="H39" s="21">
        <f>_xlfn.IFNA(VLOOKUP(TRIM('DL 1'!G40),Data!$A:$D,4,0),0)</f>
        <v>0</v>
      </c>
      <c r="I39">
        <f>_xlfn.IFNA(INDEX(Data!$G$5:$K$10,MATCH('DL 1'!D40,Data!$F$5:$F$10,1),MATCH(_xlfn.SINGLE(#REF!),Data!$G$4:$K$4,1)),0)</f>
        <v>0</v>
      </c>
      <c r="J39">
        <f>_xlfn.IFNA(IF(VLOOKUP(TRIM('DL 1'!G40),Data!$A:$C,3,0)="ST1",H39*I39*G39,IF(VLOOKUP(TRIM('DL 1'!G40),Data!$A:$C,3,0)="IR0",H39*G39,MIN(H39:I39)*G39)),0)</f>
        <v>0</v>
      </c>
      <c r="K39" t="e">
        <f>_xlfn.IFNA(VLOOKUP(TRIM(#REF!),Data!$A:$D,4,0)*#REF!,0)</f>
        <v>#REF!</v>
      </c>
      <c r="L39">
        <f>IF(TRIM('DL 1'!G40)="EDCLNHT0IRNLI",20000,0)</f>
        <v>0</v>
      </c>
      <c r="M39">
        <f>IF(ISERROR(MATCH('DL 1'!A40,#REF!,0)),0,J39*2)</f>
        <v>0</v>
      </c>
      <c r="N39" t="e">
        <f>#REF!</f>
        <v>#REF!</v>
      </c>
      <c r="O39">
        <f>_xlfn.IFNA(VLOOKUP(RIGHT(VLOOKUP(TRIM('DL 1'!G40),Data!$A:$B,2,0),1),Data!$L$23:$M$30,2,0),0)</f>
        <v>0</v>
      </c>
      <c r="P39">
        <f t="shared" si="9"/>
        <v>0</v>
      </c>
      <c r="Q39" s="7" t="b">
        <f t="shared" si="1"/>
        <v>0</v>
      </c>
      <c r="R39" s="27">
        <f>INCENTIVE!$E$8</f>
        <v>130000000</v>
      </c>
      <c r="S39">
        <f>'DL 1'!D40</f>
        <v>0</v>
      </c>
      <c r="T39" t="str">
        <f t="shared" si="2"/>
        <v>1</v>
      </c>
      <c r="V39" t="str">
        <f t="shared" si="3"/>
        <v>1</v>
      </c>
      <c r="W39">
        <f t="shared" si="4"/>
        <v>0.25</v>
      </c>
      <c r="X39" s="7">
        <f>'DL 1'!E40</f>
        <v>0</v>
      </c>
      <c r="Y39" s="69">
        <f>'DL 1'!G40</f>
        <v>0</v>
      </c>
      <c r="AC39" t="str">
        <f>IFERROR(VLOOKUP(Y39,Data!$G$65:$L$69,2,0) *X39,"")</f>
        <v/>
      </c>
      <c r="AD39" s="7">
        <f t="shared" si="5"/>
        <v>0</v>
      </c>
      <c r="AE39">
        <f>'DL 1'!F40</f>
        <v>0</v>
      </c>
      <c r="AF39" t="str">
        <f>IFERROR(VLOOKUP(Y39,Data!$G$65:$K$79,4,0),"")</f>
        <v/>
      </c>
      <c r="AG39" s="51" t="e">
        <f>#REF!</f>
        <v>#REF!</v>
      </c>
      <c r="AK39">
        <f t="shared" si="6"/>
        <v>0</v>
      </c>
      <c r="AL39">
        <f t="shared" si="10"/>
        <v>0</v>
      </c>
      <c r="AM39" s="70">
        <f t="shared" si="7"/>
        <v>0</v>
      </c>
      <c r="AN39" s="7" t="b">
        <f t="shared" si="8"/>
        <v>0</v>
      </c>
    </row>
    <row r="40" spans="1:40" x14ac:dyDescent="0.3">
      <c r="A40" s="50">
        <f>IF(D40="A",_xlfn.IFNA(INDEX(Data!$H$24:$J$28,MATCH('DL 1'!E41,Data!$G$24:$G$28,1),MATCH('DL 1'!D41,Data!$H$23:$J$23,1)),0),0)</f>
        <v>0</v>
      </c>
      <c r="B40">
        <f>IF('DL 1'!F41="Y",Q40,0)</f>
        <v>0</v>
      </c>
      <c r="C40" t="e">
        <f>_xlfn.IFNA(INDEX(Data!$H$24:$J$28,MATCH(#REF!,Data!$G$24:$G$28,1),MATCH(#REF!,Data!$H$23:$J$23,1)),0)</f>
        <v>#REF!</v>
      </c>
      <c r="D40" t="str">
        <f>RIGHT(TRIM('DL 1'!G41),1)</f>
        <v/>
      </c>
      <c r="E40" s="8">
        <f>'DL 1'!E41*'DL 1'!D41</f>
        <v>0</v>
      </c>
      <c r="F40" t="str">
        <f>_xlfn.IFNA(VLOOKUP(TRIM('DL 1'!G41),Data!$A:$C,3,0),"")</f>
        <v/>
      </c>
      <c r="G40" s="7">
        <f>'DL 1'!E41</f>
        <v>0</v>
      </c>
      <c r="H40" s="21">
        <f>_xlfn.IFNA(VLOOKUP(TRIM('DL 1'!G41),Data!$A:$D,4,0),0)</f>
        <v>0</v>
      </c>
      <c r="I40">
        <f>_xlfn.IFNA(INDEX(Data!$G$5:$K$10,MATCH('DL 1'!D41,Data!$F$5:$F$10,1),MATCH(_xlfn.SINGLE(#REF!),Data!$G$4:$K$4,1)),0)</f>
        <v>0</v>
      </c>
      <c r="J40">
        <f>_xlfn.IFNA(IF(VLOOKUP(TRIM('DL 1'!G41),Data!$A:$C,3,0)="ST1",H40*I40*G40,IF(VLOOKUP(TRIM('DL 1'!G41),Data!$A:$C,3,0)="IR0",H40*G40,MIN(H40:I40)*G40)),0)</f>
        <v>0</v>
      </c>
      <c r="K40" t="e">
        <f>_xlfn.IFNA(VLOOKUP(TRIM(#REF!),Data!$A:$D,4,0)*#REF!,0)</f>
        <v>#REF!</v>
      </c>
      <c r="L40">
        <f>IF(TRIM('DL 1'!G41)="EDCLNHT0IRNLI",20000,0)</f>
        <v>0</v>
      </c>
      <c r="M40">
        <f>IF(ISERROR(MATCH('DL 1'!A41,#REF!,0)),0,J40*2)</f>
        <v>0</v>
      </c>
      <c r="N40" t="e">
        <f>#REF!</f>
        <v>#REF!</v>
      </c>
      <c r="O40">
        <f>_xlfn.IFNA(VLOOKUP(RIGHT(VLOOKUP(TRIM('DL 1'!G41),Data!$A:$B,2,0),1),Data!$L$23:$M$30,2,0),0)</f>
        <v>0</v>
      </c>
      <c r="P40">
        <f t="shared" si="9"/>
        <v>0</v>
      </c>
      <c r="Q40" s="7" t="b">
        <f t="shared" si="1"/>
        <v>0</v>
      </c>
      <c r="R40" s="27">
        <f>INCENTIVE!$E$8</f>
        <v>130000000</v>
      </c>
      <c r="S40">
        <f>'DL 1'!D41</f>
        <v>0</v>
      </c>
      <c r="T40" t="str">
        <f t="shared" si="2"/>
        <v>1</v>
      </c>
      <c r="V40" t="str">
        <f t="shared" si="3"/>
        <v>1</v>
      </c>
      <c r="W40">
        <f t="shared" si="4"/>
        <v>0.25</v>
      </c>
      <c r="X40" s="7">
        <f>'DL 1'!E41</f>
        <v>0</v>
      </c>
      <c r="Y40" s="69">
        <f>'DL 1'!G41</f>
        <v>0</v>
      </c>
      <c r="AC40" t="str">
        <f>IFERROR(VLOOKUP(Y40,Data!$G$65:$L$69,2,0) *X40,"")</f>
        <v/>
      </c>
      <c r="AD40" s="7">
        <f t="shared" si="5"/>
        <v>0</v>
      </c>
      <c r="AE40">
        <f>'DL 1'!F41</f>
        <v>0</v>
      </c>
      <c r="AF40" t="str">
        <f>IFERROR(VLOOKUP(Y40,Data!$G$65:$K$79,4,0),"")</f>
        <v/>
      </c>
      <c r="AG40" s="51" t="e">
        <f>#REF!</f>
        <v>#REF!</v>
      </c>
      <c r="AK40">
        <f t="shared" si="6"/>
        <v>0</v>
      </c>
      <c r="AL40">
        <f t="shared" si="10"/>
        <v>0</v>
      </c>
      <c r="AM40" s="70">
        <f t="shared" si="7"/>
        <v>0</v>
      </c>
      <c r="AN40" s="7" t="b">
        <f t="shared" si="8"/>
        <v>0</v>
      </c>
    </row>
    <row r="41" spans="1:40" x14ac:dyDescent="0.3">
      <c r="A41" s="50">
        <f>IF(D41="A",_xlfn.IFNA(INDEX(Data!$H$24:$J$28,MATCH('DL 1'!E42,Data!$G$24:$G$28,1),MATCH('DL 1'!D42,Data!$H$23:$J$23,1)),0),0)</f>
        <v>0</v>
      </c>
      <c r="B41">
        <f>IF('DL 1'!F42="Y",Q41,0)</f>
        <v>0</v>
      </c>
      <c r="C41" t="e">
        <f>_xlfn.IFNA(INDEX(Data!$H$24:$J$28,MATCH(#REF!,Data!$G$24:$G$28,1),MATCH(#REF!,Data!$H$23:$J$23,1)),0)</f>
        <v>#REF!</v>
      </c>
      <c r="D41" t="str">
        <f>RIGHT(TRIM('DL 1'!G42),1)</f>
        <v/>
      </c>
      <c r="E41" s="8">
        <f>'DL 1'!E42*'DL 1'!D42</f>
        <v>0</v>
      </c>
      <c r="F41" t="str">
        <f>_xlfn.IFNA(VLOOKUP(TRIM('DL 1'!G42),Data!$A:$C,3,0),"")</f>
        <v/>
      </c>
      <c r="G41" s="7">
        <f>'DL 1'!E42</f>
        <v>0</v>
      </c>
      <c r="H41" s="21">
        <f>_xlfn.IFNA(VLOOKUP(TRIM('DL 1'!G42),Data!$A:$D,4,0),0)</f>
        <v>0</v>
      </c>
      <c r="I41">
        <f>_xlfn.IFNA(INDEX(Data!$G$5:$K$10,MATCH('DL 1'!D42,Data!$F$5:$F$10,1),MATCH(_xlfn.SINGLE(#REF!),Data!$G$4:$K$4,1)),0)</f>
        <v>0</v>
      </c>
      <c r="J41">
        <f>_xlfn.IFNA(IF(VLOOKUP(TRIM('DL 1'!G42),Data!$A:$C,3,0)="ST1",H41*I41*G41,IF(VLOOKUP(TRIM('DL 1'!G42),Data!$A:$C,3,0)="IR0",H41*G41,MIN(H41:I41)*G41)),0)</f>
        <v>0</v>
      </c>
      <c r="K41" t="e">
        <f>_xlfn.IFNA(VLOOKUP(TRIM(#REF!),Data!$A:$D,4,0)*#REF!,0)</f>
        <v>#REF!</v>
      </c>
      <c r="L41">
        <f>IF(TRIM('DL 1'!G42)="EDCLNHT0IRNLI",20000,0)</f>
        <v>0</v>
      </c>
      <c r="M41">
        <f>IF(ISERROR(MATCH('DL 1'!A42,#REF!,0)),0,J41*2)</f>
        <v>0</v>
      </c>
      <c r="N41" t="e">
        <f>#REF!</f>
        <v>#REF!</v>
      </c>
      <c r="O41">
        <f>_xlfn.IFNA(VLOOKUP(RIGHT(VLOOKUP(TRIM('DL 1'!G42),Data!$A:$B,2,0),1),Data!$L$23:$M$30,2,0),0)</f>
        <v>0</v>
      </c>
      <c r="P41">
        <f t="shared" si="9"/>
        <v>0</v>
      </c>
      <c r="Q41" s="7" t="b">
        <f t="shared" si="1"/>
        <v>0</v>
      </c>
      <c r="R41" s="27">
        <f>INCENTIVE!$E$8</f>
        <v>130000000</v>
      </c>
      <c r="S41">
        <f>'DL 1'!D42</f>
        <v>0</v>
      </c>
      <c r="T41" t="str">
        <f t="shared" si="2"/>
        <v>1</v>
      </c>
      <c r="V41" t="str">
        <f t="shared" si="3"/>
        <v>1</v>
      </c>
      <c r="W41">
        <f t="shared" si="4"/>
        <v>0.25</v>
      </c>
      <c r="X41" s="7">
        <f>'DL 1'!E42</f>
        <v>0</v>
      </c>
      <c r="Y41" s="69">
        <f>'DL 1'!G42</f>
        <v>0</v>
      </c>
      <c r="AC41" t="str">
        <f>IFERROR(VLOOKUP(Y41,Data!$G$65:$L$69,2,0) *X41,"")</f>
        <v/>
      </c>
      <c r="AD41" s="7">
        <f t="shared" si="5"/>
        <v>0</v>
      </c>
      <c r="AE41">
        <f>'DL 1'!F42</f>
        <v>0</v>
      </c>
      <c r="AF41" t="str">
        <f>IFERROR(VLOOKUP(Y41,Data!$G$65:$K$79,4,0),"")</f>
        <v/>
      </c>
      <c r="AG41" s="51" t="e">
        <f>#REF!</f>
        <v>#REF!</v>
      </c>
      <c r="AK41">
        <f t="shared" si="6"/>
        <v>0</v>
      </c>
      <c r="AL41">
        <f t="shared" si="10"/>
        <v>0</v>
      </c>
      <c r="AM41" s="70">
        <f t="shared" si="7"/>
        <v>0</v>
      </c>
      <c r="AN41" s="7" t="b">
        <f t="shared" si="8"/>
        <v>0</v>
      </c>
    </row>
    <row r="42" spans="1:40" x14ac:dyDescent="0.3">
      <c r="A42" s="50">
        <f>IF(D42="A",_xlfn.IFNA(INDEX(Data!$H$24:$J$28,MATCH('DL 1'!E43,Data!$G$24:$G$28,1),MATCH('DL 1'!D43,Data!$H$23:$J$23,1)),0),0)</f>
        <v>0</v>
      </c>
      <c r="B42">
        <f>IF('DL 1'!F43="Y",Q42,0)</f>
        <v>0</v>
      </c>
      <c r="C42" t="e">
        <f>_xlfn.IFNA(INDEX(Data!$H$24:$J$28,MATCH(#REF!,Data!$G$24:$G$28,1),MATCH(#REF!,Data!$H$23:$J$23,1)),0)</f>
        <v>#REF!</v>
      </c>
      <c r="D42" t="str">
        <f>RIGHT(TRIM('DL 1'!G43),1)</f>
        <v/>
      </c>
      <c r="E42" s="8">
        <f>'DL 1'!E43*'DL 1'!D43</f>
        <v>0</v>
      </c>
      <c r="F42" t="str">
        <f>_xlfn.IFNA(VLOOKUP(TRIM('DL 1'!G43),Data!$A:$C,3,0),"")</f>
        <v/>
      </c>
      <c r="G42" s="7">
        <f>'DL 1'!E43</f>
        <v>0</v>
      </c>
      <c r="H42" s="21">
        <f>_xlfn.IFNA(VLOOKUP(TRIM('DL 1'!G43),Data!$A:$D,4,0),0)</f>
        <v>0</v>
      </c>
      <c r="I42">
        <f>_xlfn.IFNA(INDEX(Data!$G$5:$K$10,MATCH('DL 1'!D43,Data!$F$5:$F$10,1),MATCH(_xlfn.SINGLE(#REF!),Data!$G$4:$K$4,1)),0)</f>
        <v>0</v>
      </c>
      <c r="J42">
        <f>_xlfn.IFNA(IF(VLOOKUP(TRIM('DL 1'!G43),Data!$A:$C,3,0)="ST1",H42*I42*G42,IF(VLOOKUP(TRIM('DL 1'!G43),Data!$A:$C,3,0)="IR0",H42*G42,MIN(H42:I42)*G42)),0)</f>
        <v>0</v>
      </c>
      <c r="K42" t="e">
        <f>_xlfn.IFNA(VLOOKUP(TRIM(#REF!),Data!$A:$D,4,0)*#REF!,0)</f>
        <v>#REF!</v>
      </c>
      <c r="L42">
        <f>IF(TRIM('DL 1'!G43)="EDCLNHT0IRNLI",20000,0)</f>
        <v>0</v>
      </c>
      <c r="M42">
        <f>IF(ISERROR(MATCH('DL 1'!A43,#REF!,0)),0,J42*2)</f>
        <v>0</v>
      </c>
      <c r="N42" t="e">
        <f>#REF!</f>
        <v>#REF!</v>
      </c>
      <c r="O42">
        <f>_xlfn.IFNA(VLOOKUP(RIGHT(VLOOKUP(TRIM('DL 1'!G43),Data!$A:$B,2,0),1),Data!$L$23:$M$30,2,0),0)</f>
        <v>0</v>
      </c>
      <c r="P42">
        <f t="shared" si="9"/>
        <v>0</v>
      </c>
      <c r="Q42" s="7" t="b">
        <f t="shared" si="1"/>
        <v>0</v>
      </c>
      <c r="R42" s="27">
        <f>INCENTIVE!$E$8</f>
        <v>130000000</v>
      </c>
      <c r="S42">
        <f>'DL 1'!D43</f>
        <v>0</v>
      </c>
      <c r="T42" t="str">
        <f t="shared" si="2"/>
        <v>1</v>
      </c>
      <c r="V42" t="str">
        <f t="shared" si="3"/>
        <v>1</v>
      </c>
      <c r="W42">
        <f t="shared" si="4"/>
        <v>0.25</v>
      </c>
      <c r="X42" s="7">
        <f>'DL 1'!E43</f>
        <v>0</v>
      </c>
      <c r="Y42" s="69">
        <f>'DL 1'!G43</f>
        <v>0</v>
      </c>
      <c r="AC42" t="str">
        <f>IFERROR(VLOOKUP(Y42,Data!$G$65:$L$69,2,0) *X42,"")</f>
        <v/>
      </c>
      <c r="AD42" s="7">
        <f t="shared" si="5"/>
        <v>0</v>
      </c>
      <c r="AE42">
        <f>'DL 1'!F43</f>
        <v>0</v>
      </c>
      <c r="AF42" t="str">
        <f>IFERROR(VLOOKUP(Y42,Data!$G$65:$K$79,4,0),"")</f>
        <v/>
      </c>
      <c r="AG42" s="51" t="e">
        <f>#REF!</f>
        <v>#REF!</v>
      </c>
      <c r="AK42">
        <f t="shared" si="6"/>
        <v>0</v>
      </c>
      <c r="AL42">
        <f t="shared" si="10"/>
        <v>0</v>
      </c>
      <c r="AM42" s="70">
        <f t="shared" si="7"/>
        <v>0</v>
      </c>
      <c r="AN42" s="7" t="b">
        <f t="shared" si="8"/>
        <v>0</v>
      </c>
    </row>
    <row r="43" spans="1:40" x14ac:dyDescent="0.3">
      <c r="A43" s="50">
        <f>IF(D43="A",_xlfn.IFNA(INDEX(Data!$H$24:$J$28,MATCH('DL 1'!E44,Data!$G$24:$G$28,1),MATCH('DL 1'!D44,Data!$H$23:$J$23,1)),0),0)</f>
        <v>0</v>
      </c>
      <c r="B43">
        <f>IF('DL 1'!F44="Y",Q43,0)</f>
        <v>0</v>
      </c>
      <c r="C43" t="e">
        <f>_xlfn.IFNA(INDEX(Data!$H$24:$J$28,MATCH(#REF!,Data!$G$24:$G$28,1),MATCH(#REF!,Data!$H$23:$J$23,1)),0)</f>
        <v>#REF!</v>
      </c>
      <c r="D43" t="str">
        <f>RIGHT(TRIM('DL 1'!G44),1)</f>
        <v/>
      </c>
      <c r="E43" s="8">
        <f>'DL 1'!E44*'DL 1'!D44</f>
        <v>0</v>
      </c>
      <c r="F43" t="str">
        <f>_xlfn.IFNA(VLOOKUP(TRIM('DL 1'!G44),Data!$A:$C,3,0),"")</f>
        <v/>
      </c>
      <c r="G43" s="7">
        <f>'DL 1'!E44</f>
        <v>0</v>
      </c>
      <c r="H43" s="21">
        <f>_xlfn.IFNA(VLOOKUP(TRIM('DL 1'!G44),Data!$A:$D,4,0),0)</f>
        <v>0</v>
      </c>
      <c r="I43">
        <f>_xlfn.IFNA(INDEX(Data!$G$5:$K$10,MATCH('DL 1'!D44,Data!$F$5:$F$10,1),MATCH(_xlfn.SINGLE(#REF!),Data!$G$4:$K$4,1)),0)</f>
        <v>0</v>
      </c>
      <c r="J43">
        <f>_xlfn.IFNA(IF(VLOOKUP(TRIM('DL 1'!G44),Data!$A:$C,3,0)="ST1",H43*I43*G43,IF(VLOOKUP(TRIM('DL 1'!G44),Data!$A:$C,3,0)="IR0",H43*G43,MIN(H43:I43)*G43)),0)</f>
        <v>0</v>
      </c>
      <c r="K43" t="e">
        <f>_xlfn.IFNA(VLOOKUP(TRIM(#REF!),Data!$A:$D,4,0)*#REF!,0)</f>
        <v>#REF!</v>
      </c>
      <c r="L43">
        <f>IF(TRIM('DL 1'!G44)="EDCLNHT0IRNLI",20000,0)</f>
        <v>0</v>
      </c>
      <c r="M43">
        <f>IF(ISERROR(MATCH('DL 1'!A44,#REF!,0)),0,J43*2)</f>
        <v>0</v>
      </c>
      <c r="N43" t="e">
        <f>#REF!</f>
        <v>#REF!</v>
      </c>
      <c r="O43">
        <f>_xlfn.IFNA(VLOOKUP(RIGHT(VLOOKUP(TRIM('DL 1'!G44),Data!$A:$B,2,0),1),Data!$L$23:$M$30,2,0),0)</f>
        <v>0</v>
      </c>
      <c r="P43">
        <f t="shared" si="9"/>
        <v>0</v>
      </c>
      <c r="Q43" s="7" t="b">
        <f t="shared" si="1"/>
        <v>0</v>
      </c>
      <c r="R43" s="27">
        <f>INCENTIVE!$E$8</f>
        <v>130000000</v>
      </c>
      <c r="S43">
        <f>'DL 1'!D44</f>
        <v>0</v>
      </c>
      <c r="T43" t="str">
        <f t="shared" si="2"/>
        <v>1</v>
      </c>
      <c r="V43" t="str">
        <f t="shared" si="3"/>
        <v>1</v>
      </c>
      <c r="W43">
        <f t="shared" si="4"/>
        <v>0.25</v>
      </c>
      <c r="X43" s="7">
        <f>'DL 1'!E44</f>
        <v>0</v>
      </c>
      <c r="Y43" s="69">
        <f>'DL 1'!G44</f>
        <v>0</v>
      </c>
      <c r="AC43" t="str">
        <f>IFERROR(VLOOKUP(Y43,Data!$G$65:$L$69,2,0) *X43,"")</f>
        <v/>
      </c>
      <c r="AD43" s="7">
        <f t="shared" si="5"/>
        <v>0</v>
      </c>
      <c r="AE43">
        <f>'DL 1'!F44</f>
        <v>0</v>
      </c>
      <c r="AF43" t="str">
        <f>IFERROR(VLOOKUP(Y43,Data!$G$65:$K$79,4,0),"")</f>
        <v/>
      </c>
      <c r="AG43" s="51" t="e">
        <f>#REF!</f>
        <v>#REF!</v>
      </c>
      <c r="AK43">
        <f t="shared" si="6"/>
        <v>0</v>
      </c>
      <c r="AL43">
        <f t="shared" si="10"/>
        <v>0</v>
      </c>
      <c r="AM43" s="70">
        <f t="shared" si="7"/>
        <v>0</v>
      </c>
      <c r="AN43" s="7" t="b">
        <f t="shared" si="8"/>
        <v>0</v>
      </c>
    </row>
    <row r="44" spans="1:40" x14ac:dyDescent="0.3">
      <c r="A44" s="50">
        <f>IF(D44="A",_xlfn.IFNA(INDEX(Data!$H$24:$J$28,MATCH('DL 1'!E45,Data!$G$24:$G$28,1),MATCH('DL 1'!D45,Data!$H$23:$J$23,1)),0),0)</f>
        <v>0</v>
      </c>
      <c r="B44">
        <f>IF('DL 1'!F45="Y",Q44,0)</f>
        <v>0</v>
      </c>
      <c r="C44" t="e">
        <f>_xlfn.IFNA(INDEX(Data!$H$24:$J$28,MATCH(#REF!,Data!$G$24:$G$28,1),MATCH(#REF!,Data!$H$23:$J$23,1)),0)</f>
        <v>#REF!</v>
      </c>
      <c r="D44" t="str">
        <f>RIGHT(TRIM('DL 1'!G45),1)</f>
        <v/>
      </c>
      <c r="E44" s="8">
        <f>'DL 1'!E45*'DL 1'!D45</f>
        <v>0</v>
      </c>
      <c r="F44" t="str">
        <f>_xlfn.IFNA(VLOOKUP(TRIM('DL 1'!G45),Data!$A:$C,3,0),"")</f>
        <v/>
      </c>
      <c r="G44" s="7">
        <f>'DL 1'!E45</f>
        <v>0</v>
      </c>
      <c r="H44" s="21">
        <f>_xlfn.IFNA(VLOOKUP(TRIM('DL 1'!G45),Data!$A:$D,4,0),0)</f>
        <v>0</v>
      </c>
      <c r="I44">
        <f>_xlfn.IFNA(INDEX(Data!$G$5:$K$10,MATCH('DL 1'!D45,Data!$F$5:$F$10,1),MATCH(_xlfn.SINGLE(#REF!),Data!$G$4:$K$4,1)),0)</f>
        <v>0</v>
      </c>
      <c r="J44">
        <f>_xlfn.IFNA(IF(VLOOKUP(TRIM('DL 1'!G45),Data!$A:$C,3,0)="ST1",H44*I44*G44,IF(VLOOKUP(TRIM('DL 1'!G45),Data!$A:$C,3,0)="IR0",H44*G44,MIN(H44:I44)*G44)),0)</f>
        <v>0</v>
      </c>
      <c r="K44" t="e">
        <f>_xlfn.IFNA(VLOOKUP(TRIM(#REF!),Data!$A:$D,4,0)*#REF!,0)</f>
        <v>#REF!</v>
      </c>
      <c r="L44">
        <f>IF(TRIM('DL 1'!G45)="EDCLNHT0IRNLI",20000,0)</f>
        <v>0</v>
      </c>
      <c r="M44">
        <f>IF(ISERROR(MATCH('DL 1'!A45,#REF!,0)),0,J44*2)</f>
        <v>0</v>
      </c>
      <c r="N44" t="e">
        <f>#REF!</f>
        <v>#REF!</v>
      </c>
      <c r="O44">
        <f>_xlfn.IFNA(VLOOKUP(RIGHT(VLOOKUP(TRIM('DL 1'!G45),Data!$A:$B,2,0),1),Data!$L$23:$M$30,2,0),0)</f>
        <v>0</v>
      </c>
      <c r="P44">
        <f t="shared" si="9"/>
        <v>0</v>
      </c>
      <c r="Q44" s="7" t="b">
        <f t="shared" si="1"/>
        <v>0</v>
      </c>
      <c r="R44" s="27">
        <f>INCENTIVE!$E$8</f>
        <v>130000000</v>
      </c>
      <c r="S44">
        <f>'DL 1'!D45</f>
        <v>0</v>
      </c>
      <c r="T44" t="str">
        <f t="shared" si="2"/>
        <v>1</v>
      </c>
      <c r="V44" t="str">
        <f t="shared" si="3"/>
        <v>1</v>
      </c>
      <c r="W44">
        <f t="shared" si="4"/>
        <v>0.25</v>
      </c>
      <c r="X44" s="7">
        <f>'DL 1'!E45</f>
        <v>0</v>
      </c>
      <c r="Y44" s="69">
        <f>'DL 1'!G45</f>
        <v>0</v>
      </c>
      <c r="AC44" t="str">
        <f>IFERROR(VLOOKUP(Y44,Data!$G$65:$L$69,2,0) *X44,"")</f>
        <v/>
      </c>
      <c r="AD44" s="7">
        <f t="shared" si="5"/>
        <v>0</v>
      </c>
      <c r="AE44">
        <f>'DL 1'!F45</f>
        <v>0</v>
      </c>
      <c r="AF44" t="str">
        <f>IFERROR(VLOOKUP(Y44,Data!$G$65:$K$79,4,0),"")</f>
        <v/>
      </c>
      <c r="AG44" s="51" t="e">
        <f>#REF!</f>
        <v>#REF!</v>
      </c>
      <c r="AK44">
        <f t="shared" si="6"/>
        <v>0</v>
      </c>
      <c r="AL44">
        <f t="shared" si="10"/>
        <v>0</v>
      </c>
      <c r="AM44" s="70">
        <f t="shared" si="7"/>
        <v>0</v>
      </c>
      <c r="AN44" s="7" t="b">
        <f t="shared" si="8"/>
        <v>0</v>
      </c>
    </row>
    <row r="45" spans="1:40" x14ac:dyDescent="0.3">
      <c r="A45" s="50">
        <f>IF(D45="A",_xlfn.IFNA(INDEX(Data!$H$24:$J$28,MATCH('DL 1'!E46,Data!$G$24:$G$28,1),MATCH('DL 1'!D46,Data!$H$23:$J$23,1)),0),0)</f>
        <v>0</v>
      </c>
      <c r="B45">
        <f>IF('DL 1'!F46="Y",Q45,0)</f>
        <v>0</v>
      </c>
      <c r="C45" t="e">
        <f>_xlfn.IFNA(INDEX(Data!$H$24:$J$28,MATCH(#REF!,Data!$G$24:$G$28,1),MATCH(#REF!,Data!$H$23:$J$23,1)),0)</f>
        <v>#REF!</v>
      </c>
      <c r="D45" t="str">
        <f>RIGHT(TRIM('DL 1'!G46),1)</f>
        <v/>
      </c>
      <c r="E45" s="8">
        <f>'DL 1'!E46*'DL 1'!D46</f>
        <v>0</v>
      </c>
      <c r="F45" t="str">
        <f>_xlfn.IFNA(VLOOKUP(TRIM('DL 1'!G46),Data!$A:$C,3,0),"")</f>
        <v/>
      </c>
      <c r="G45" s="7">
        <f>'DL 1'!E46</f>
        <v>0</v>
      </c>
      <c r="H45" s="21">
        <f>_xlfn.IFNA(VLOOKUP(TRIM('DL 1'!G46),Data!$A:$D,4,0),0)</f>
        <v>0</v>
      </c>
      <c r="I45">
        <f>_xlfn.IFNA(INDEX(Data!$G$5:$K$10,MATCH('DL 1'!D46,Data!$F$5:$F$10,1),MATCH(_xlfn.SINGLE(#REF!),Data!$G$4:$K$4,1)),0)</f>
        <v>0</v>
      </c>
      <c r="J45">
        <f>_xlfn.IFNA(IF(VLOOKUP(TRIM('DL 1'!G46),Data!$A:$C,3,0)="ST1",H45*I45*G45,IF(VLOOKUP(TRIM('DL 1'!G46),Data!$A:$C,3,0)="IR0",H45*G45,MIN(H45:I45)*G45)),0)</f>
        <v>0</v>
      </c>
      <c r="K45" t="e">
        <f>_xlfn.IFNA(VLOOKUP(TRIM(#REF!),Data!$A:$D,4,0)*#REF!,0)</f>
        <v>#REF!</v>
      </c>
      <c r="L45">
        <f>IF(TRIM('DL 1'!G46)="EDCLNHT0IRNLI",20000,0)</f>
        <v>0</v>
      </c>
      <c r="M45">
        <f>IF(ISERROR(MATCH('DL 1'!A46,#REF!,0)),0,J45*2)</f>
        <v>0</v>
      </c>
      <c r="N45" t="e">
        <f>#REF!</f>
        <v>#REF!</v>
      </c>
      <c r="O45">
        <f>_xlfn.IFNA(VLOOKUP(RIGHT(VLOOKUP(TRIM('DL 1'!G46),Data!$A:$B,2,0),1),Data!$L$23:$M$30,2,0),0)</f>
        <v>0</v>
      </c>
      <c r="P45">
        <f t="shared" si="9"/>
        <v>0</v>
      </c>
      <c r="Q45" s="7" t="b">
        <f t="shared" si="1"/>
        <v>0</v>
      </c>
      <c r="R45" s="27">
        <f>INCENTIVE!$E$8</f>
        <v>130000000</v>
      </c>
      <c r="S45">
        <f>'DL 1'!D46</f>
        <v>0</v>
      </c>
      <c r="T45" t="str">
        <f t="shared" si="2"/>
        <v>1</v>
      </c>
      <c r="V45" t="str">
        <f t="shared" si="3"/>
        <v>1</v>
      </c>
      <c r="W45">
        <f t="shared" si="4"/>
        <v>0.25</v>
      </c>
      <c r="X45" s="7">
        <f>'DL 1'!E46</f>
        <v>0</v>
      </c>
      <c r="Y45" s="69">
        <f>'DL 1'!G46</f>
        <v>0</v>
      </c>
      <c r="AC45" t="str">
        <f>IFERROR(VLOOKUP(Y45,Data!$G$65:$L$69,2,0) *X45,"")</f>
        <v/>
      </c>
      <c r="AD45" s="7">
        <f t="shared" si="5"/>
        <v>0</v>
      </c>
      <c r="AE45">
        <f>'DL 1'!F46</f>
        <v>0</v>
      </c>
      <c r="AF45" t="str">
        <f>IFERROR(VLOOKUP(Y45,Data!$G$65:$K$79,4,0),"")</f>
        <v/>
      </c>
      <c r="AG45" s="51" t="e">
        <f>#REF!</f>
        <v>#REF!</v>
      </c>
      <c r="AK45">
        <f t="shared" si="6"/>
        <v>0</v>
      </c>
      <c r="AL45">
        <f t="shared" si="10"/>
        <v>0</v>
      </c>
      <c r="AM45" s="70">
        <f t="shared" si="7"/>
        <v>0</v>
      </c>
      <c r="AN45" s="7" t="b">
        <f t="shared" si="8"/>
        <v>0</v>
      </c>
    </row>
    <row r="46" spans="1:40" x14ac:dyDescent="0.3">
      <c r="A46" s="50">
        <f>IF(D46="A",_xlfn.IFNA(INDEX(Data!$H$24:$J$28,MATCH('DL 1'!E47,Data!$G$24:$G$28,1),MATCH('DL 1'!D47,Data!$H$23:$J$23,1)),0),0)</f>
        <v>0</v>
      </c>
      <c r="B46">
        <f>IF('DL 1'!F47="Y",Q46,0)</f>
        <v>0</v>
      </c>
      <c r="C46" t="e">
        <f>_xlfn.IFNA(INDEX(Data!$H$24:$J$28,MATCH(#REF!,Data!$G$24:$G$28,1),MATCH(#REF!,Data!$H$23:$J$23,1)),0)</f>
        <v>#REF!</v>
      </c>
      <c r="D46" t="str">
        <f>RIGHT(TRIM('DL 1'!G47),1)</f>
        <v/>
      </c>
      <c r="E46" s="8">
        <f>'DL 1'!E47*'DL 1'!D47</f>
        <v>0</v>
      </c>
      <c r="F46" t="str">
        <f>_xlfn.IFNA(VLOOKUP(TRIM('DL 1'!G47),Data!$A:$C,3,0),"")</f>
        <v/>
      </c>
      <c r="G46" s="7">
        <f>'DL 1'!E47</f>
        <v>0</v>
      </c>
      <c r="H46" s="21">
        <f>_xlfn.IFNA(VLOOKUP(TRIM('DL 1'!G47),Data!$A:$D,4,0),0)</f>
        <v>0</v>
      </c>
      <c r="I46">
        <f>_xlfn.IFNA(INDEX(Data!$G$5:$K$10,MATCH('DL 1'!D47,Data!$F$5:$F$10,1),MATCH(_xlfn.SINGLE(#REF!),Data!$G$4:$K$4,1)),0)</f>
        <v>0</v>
      </c>
      <c r="J46">
        <f>_xlfn.IFNA(IF(VLOOKUP(TRIM('DL 1'!G47),Data!$A:$C,3,0)="ST1",H46*I46*G46,IF(VLOOKUP(TRIM('DL 1'!G47),Data!$A:$C,3,0)="IR0",H46*G46,MIN(H46:I46)*G46)),0)</f>
        <v>0</v>
      </c>
      <c r="K46" t="e">
        <f>_xlfn.IFNA(VLOOKUP(TRIM(#REF!),Data!$A:$D,4,0)*#REF!,0)</f>
        <v>#REF!</v>
      </c>
      <c r="L46">
        <f>IF(TRIM('DL 1'!G47)="EDCLNHT0IRNLI",20000,0)</f>
        <v>0</v>
      </c>
      <c r="M46">
        <f>IF(ISERROR(MATCH('DL 1'!A47,#REF!,0)),0,J46*2)</f>
        <v>0</v>
      </c>
      <c r="N46" t="e">
        <f>#REF!</f>
        <v>#REF!</v>
      </c>
      <c r="O46">
        <f>_xlfn.IFNA(VLOOKUP(RIGHT(VLOOKUP(TRIM('DL 1'!G47),Data!$A:$B,2,0),1),Data!$L$23:$M$30,2,0),0)</f>
        <v>0</v>
      </c>
      <c r="P46">
        <f t="shared" si="9"/>
        <v>0</v>
      </c>
      <c r="Q46" s="7" t="b">
        <f t="shared" si="1"/>
        <v>0</v>
      </c>
      <c r="R46" s="27">
        <f>INCENTIVE!$E$8</f>
        <v>130000000</v>
      </c>
      <c r="S46">
        <f>'DL 1'!D47</f>
        <v>0</v>
      </c>
      <c r="T46" t="str">
        <f t="shared" si="2"/>
        <v>1</v>
      </c>
      <c r="V46" t="str">
        <f t="shared" si="3"/>
        <v>1</v>
      </c>
      <c r="W46">
        <f t="shared" si="4"/>
        <v>0.25</v>
      </c>
      <c r="X46" s="7">
        <f>'DL 1'!E47</f>
        <v>0</v>
      </c>
      <c r="Y46" s="69">
        <f>'DL 1'!G47</f>
        <v>0</v>
      </c>
      <c r="AC46" t="str">
        <f>IFERROR(VLOOKUP(Y46,Data!$G$65:$L$69,2,0) *X46,"")</f>
        <v/>
      </c>
      <c r="AD46" s="7">
        <f t="shared" si="5"/>
        <v>0</v>
      </c>
      <c r="AE46">
        <f>'DL 1'!F47</f>
        <v>0</v>
      </c>
      <c r="AF46" t="str">
        <f>IFERROR(VLOOKUP(Y46,Data!$G$65:$K$79,4,0),"")</f>
        <v/>
      </c>
      <c r="AG46" s="51" t="e">
        <f>#REF!</f>
        <v>#REF!</v>
      </c>
      <c r="AK46">
        <f t="shared" si="6"/>
        <v>0</v>
      </c>
      <c r="AL46">
        <f t="shared" si="10"/>
        <v>0</v>
      </c>
      <c r="AM46" s="70">
        <f t="shared" si="7"/>
        <v>0</v>
      </c>
      <c r="AN46" s="7" t="b">
        <f t="shared" si="8"/>
        <v>0</v>
      </c>
    </row>
    <row r="47" spans="1:40" x14ac:dyDescent="0.3">
      <c r="A47" s="50">
        <f>IF(D47="A",_xlfn.IFNA(INDEX(Data!$H$24:$J$28,MATCH('DL 1'!E48,Data!$G$24:$G$28,1),MATCH('DL 1'!D48,Data!$H$23:$J$23,1)),0),0)</f>
        <v>0</v>
      </c>
      <c r="B47">
        <f>IF('DL 1'!F48="Y",Q47,0)</f>
        <v>0</v>
      </c>
      <c r="C47" t="e">
        <f>_xlfn.IFNA(INDEX(Data!$H$24:$J$28,MATCH(#REF!,Data!$G$24:$G$28,1),MATCH(#REF!,Data!$H$23:$J$23,1)),0)</f>
        <v>#REF!</v>
      </c>
      <c r="D47" t="str">
        <f>RIGHT(TRIM('DL 1'!G48),1)</f>
        <v/>
      </c>
      <c r="E47" s="8">
        <f>'DL 1'!E48*'DL 1'!D48</f>
        <v>0</v>
      </c>
      <c r="F47" t="str">
        <f>_xlfn.IFNA(VLOOKUP(TRIM('DL 1'!G48),Data!$A:$C,3,0),"")</f>
        <v/>
      </c>
      <c r="G47" s="7">
        <f>'DL 1'!E48</f>
        <v>0</v>
      </c>
      <c r="H47" s="21">
        <f>_xlfn.IFNA(VLOOKUP(TRIM('DL 1'!G48),Data!$A:$D,4,0),0)</f>
        <v>0</v>
      </c>
      <c r="I47">
        <f>_xlfn.IFNA(INDEX(Data!$G$5:$K$10,MATCH('DL 1'!D48,Data!$F$5:$F$10,1),MATCH(_xlfn.SINGLE(#REF!),Data!$G$4:$K$4,1)),0)</f>
        <v>0</v>
      </c>
      <c r="J47">
        <f>_xlfn.IFNA(IF(VLOOKUP(TRIM('DL 1'!G48),Data!$A:$C,3,0)="ST1",H47*I47*G47,IF(VLOOKUP(TRIM('DL 1'!G48),Data!$A:$C,3,0)="IR0",H47*G47,MIN(H47:I47)*G47)),0)</f>
        <v>0</v>
      </c>
      <c r="K47" t="e">
        <f>_xlfn.IFNA(VLOOKUP(TRIM(#REF!),Data!$A:$D,4,0)*#REF!,0)</f>
        <v>#REF!</v>
      </c>
      <c r="L47">
        <f>IF(TRIM('DL 1'!G48)="EDCLNHT0IRNLI",20000,0)</f>
        <v>0</v>
      </c>
      <c r="M47">
        <f>IF(ISERROR(MATCH('DL 1'!A48,#REF!,0)),0,J47*2)</f>
        <v>0</v>
      </c>
      <c r="N47" t="e">
        <f>#REF!</f>
        <v>#REF!</v>
      </c>
      <c r="O47">
        <f>_xlfn.IFNA(VLOOKUP(RIGHT(VLOOKUP(TRIM('DL 1'!G48),Data!$A:$B,2,0),1),Data!$L$23:$M$30,2,0),0)</f>
        <v>0</v>
      </c>
      <c r="P47">
        <f t="shared" si="9"/>
        <v>0</v>
      </c>
      <c r="Q47" s="7" t="b">
        <f t="shared" si="1"/>
        <v>0</v>
      </c>
      <c r="R47" s="27">
        <f>INCENTIVE!$E$8</f>
        <v>130000000</v>
      </c>
      <c r="S47">
        <f>'DL 1'!D48</f>
        <v>0</v>
      </c>
      <c r="T47" t="str">
        <f t="shared" si="2"/>
        <v>1</v>
      </c>
      <c r="V47" t="str">
        <f t="shared" si="3"/>
        <v>1</v>
      </c>
      <c r="W47">
        <f t="shared" si="4"/>
        <v>0.25</v>
      </c>
      <c r="X47" s="7">
        <f>'DL 1'!E48</f>
        <v>0</v>
      </c>
      <c r="Y47" s="69">
        <f>'DL 1'!G48</f>
        <v>0</v>
      </c>
      <c r="AC47" t="str">
        <f>IFERROR(VLOOKUP(Y47,Data!$G$65:$L$69,2,0) *X47,"")</f>
        <v/>
      </c>
      <c r="AD47" s="7">
        <f t="shared" si="5"/>
        <v>0</v>
      </c>
      <c r="AE47">
        <f>'DL 1'!F48</f>
        <v>0</v>
      </c>
      <c r="AF47" t="str">
        <f>IFERROR(VLOOKUP(Y47,Data!$G$65:$K$79,4,0),"")</f>
        <v/>
      </c>
      <c r="AG47" s="51" t="e">
        <f>#REF!</f>
        <v>#REF!</v>
      </c>
      <c r="AK47">
        <f t="shared" si="6"/>
        <v>0</v>
      </c>
      <c r="AL47">
        <f t="shared" si="10"/>
        <v>0</v>
      </c>
      <c r="AM47" s="70">
        <f t="shared" si="7"/>
        <v>0</v>
      </c>
      <c r="AN47" s="7" t="b">
        <f t="shared" si="8"/>
        <v>0</v>
      </c>
    </row>
    <row r="48" spans="1:40" x14ac:dyDescent="0.3">
      <c r="A48" s="50">
        <f>IF(D48="A",_xlfn.IFNA(INDEX(Data!$H$24:$J$28,MATCH('DL 1'!E49,Data!$G$24:$G$28,1),MATCH('DL 1'!D49,Data!$H$23:$J$23,1)),0),0)</f>
        <v>0</v>
      </c>
      <c r="B48">
        <f>IF('DL 1'!F49="Y",Q48,0)</f>
        <v>0</v>
      </c>
      <c r="C48" t="e">
        <f>_xlfn.IFNA(INDEX(Data!$H$24:$J$28,MATCH(#REF!,Data!$G$24:$G$28,1),MATCH(#REF!,Data!$H$23:$J$23,1)),0)</f>
        <v>#REF!</v>
      </c>
      <c r="D48" t="str">
        <f>RIGHT(TRIM('DL 1'!G49),1)</f>
        <v/>
      </c>
      <c r="E48" s="8">
        <f>'DL 1'!E49*'DL 1'!D49</f>
        <v>0</v>
      </c>
      <c r="F48" t="str">
        <f>_xlfn.IFNA(VLOOKUP(TRIM('DL 1'!G49),Data!$A:$C,3,0),"")</f>
        <v/>
      </c>
      <c r="G48" s="7">
        <f>'DL 1'!E49</f>
        <v>0</v>
      </c>
      <c r="H48" s="21">
        <f>_xlfn.IFNA(VLOOKUP(TRIM('DL 1'!G49),Data!$A:$D,4,0),0)</f>
        <v>0</v>
      </c>
      <c r="I48">
        <f>_xlfn.IFNA(INDEX(Data!$G$5:$K$10,MATCH('DL 1'!D49,Data!$F$5:$F$10,1),MATCH(_xlfn.SINGLE(#REF!),Data!$G$4:$K$4,1)),0)</f>
        <v>0</v>
      </c>
      <c r="J48">
        <f>_xlfn.IFNA(IF(VLOOKUP(TRIM('DL 1'!G49),Data!$A:$C,3,0)="ST1",H48*I48*G48,IF(VLOOKUP(TRIM('DL 1'!G49),Data!$A:$C,3,0)="IR0",H48*G48,MIN(H48:I48)*G48)),0)</f>
        <v>0</v>
      </c>
      <c r="K48" t="e">
        <f>_xlfn.IFNA(VLOOKUP(TRIM(#REF!),Data!$A:$D,4,0)*#REF!,0)</f>
        <v>#REF!</v>
      </c>
      <c r="L48">
        <f>IF(TRIM('DL 1'!G49)="EDCLNHT0IRNLI",20000,0)</f>
        <v>0</v>
      </c>
      <c r="M48">
        <f>IF(ISERROR(MATCH('DL 1'!A49,#REF!,0)),0,J48*2)</f>
        <v>0</v>
      </c>
      <c r="N48" t="e">
        <f>#REF!</f>
        <v>#REF!</v>
      </c>
      <c r="O48">
        <f>_xlfn.IFNA(VLOOKUP(RIGHT(VLOOKUP(TRIM('DL 1'!G49),Data!$A:$B,2,0),1),Data!$L$23:$M$30,2,0),0)</f>
        <v>0</v>
      </c>
      <c r="P48">
        <f t="shared" si="9"/>
        <v>0</v>
      </c>
      <c r="Q48" s="7" t="b">
        <f t="shared" si="1"/>
        <v>0</v>
      </c>
      <c r="R48" s="27">
        <f>INCENTIVE!$E$8</f>
        <v>130000000</v>
      </c>
      <c r="S48">
        <f>'DL 1'!D49</f>
        <v>0</v>
      </c>
      <c r="T48" t="str">
        <f t="shared" si="2"/>
        <v>1</v>
      </c>
      <c r="V48" t="str">
        <f t="shared" si="3"/>
        <v>1</v>
      </c>
      <c r="W48">
        <f t="shared" si="4"/>
        <v>0.25</v>
      </c>
      <c r="X48" s="7">
        <f>'DL 1'!E49</f>
        <v>0</v>
      </c>
      <c r="Y48" s="69">
        <f>'DL 1'!G49</f>
        <v>0</v>
      </c>
      <c r="AC48" t="str">
        <f>IFERROR(VLOOKUP(Y48,Data!$G$65:$L$69,2,0) *X48,"")</f>
        <v/>
      </c>
      <c r="AD48" s="7">
        <f t="shared" si="5"/>
        <v>0</v>
      </c>
      <c r="AE48">
        <f>'DL 1'!F49</f>
        <v>0</v>
      </c>
      <c r="AF48" t="str">
        <f>IFERROR(VLOOKUP(Y48,Data!$G$65:$K$79,4,0),"")</f>
        <v/>
      </c>
      <c r="AG48" s="51" t="e">
        <f>#REF!</f>
        <v>#REF!</v>
      </c>
      <c r="AK48">
        <f t="shared" si="6"/>
        <v>0</v>
      </c>
      <c r="AL48">
        <f t="shared" si="10"/>
        <v>0</v>
      </c>
      <c r="AM48" s="70">
        <f t="shared" si="7"/>
        <v>0</v>
      </c>
      <c r="AN48" s="7" t="b">
        <f t="shared" si="8"/>
        <v>0</v>
      </c>
    </row>
    <row r="49" spans="1:40" x14ac:dyDescent="0.3">
      <c r="A49" s="50">
        <f>IF(D49="A",_xlfn.IFNA(INDEX(Data!$H$24:$J$28,MATCH('DL 1'!E50,Data!$G$24:$G$28,1),MATCH('DL 1'!D50,Data!$H$23:$J$23,1)),0),0)</f>
        <v>0</v>
      </c>
      <c r="B49">
        <f>IF('DL 1'!F50="Y",Q49,0)</f>
        <v>0</v>
      </c>
      <c r="C49" t="e">
        <f>_xlfn.IFNA(INDEX(Data!$H$24:$J$28,MATCH(#REF!,Data!$G$24:$G$28,1),MATCH(#REF!,Data!$H$23:$J$23,1)),0)</f>
        <v>#REF!</v>
      </c>
      <c r="D49" t="str">
        <f>RIGHT(TRIM('DL 1'!G50),1)</f>
        <v/>
      </c>
      <c r="E49" s="8">
        <f>'DL 1'!E50*'DL 1'!D50</f>
        <v>0</v>
      </c>
      <c r="F49" t="str">
        <f>_xlfn.IFNA(VLOOKUP(TRIM('DL 1'!G50),Data!$A:$C,3,0),"")</f>
        <v/>
      </c>
      <c r="G49" s="7">
        <f>'DL 1'!E50</f>
        <v>0</v>
      </c>
      <c r="H49" s="21">
        <f>_xlfn.IFNA(VLOOKUP(TRIM('DL 1'!G50),Data!$A:$D,4,0),0)</f>
        <v>0</v>
      </c>
      <c r="I49">
        <f>_xlfn.IFNA(INDEX(Data!$G$5:$K$10,MATCH('DL 1'!D50,Data!$F$5:$F$10,1),MATCH(_xlfn.SINGLE(#REF!),Data!$G$4:$K$4,1)),0)</f>
        <v>0</v>
      </c>
      <c r="J49">
        <f>_xlfn.IFNA(IF(VLOOKUP(TRIM('DL 1'!G50),Data!$A:$C,3,0)="ST1",H49*I49*G49,IF(VLOOKUP(TRIM('DL 1'!G50),Data!$A:$C,3,0)="IR0",H49*G49,MIN(H49:I49)*G49)),0)</f>
        <v>0</v>
      </c>
      <c r="K49" t="e">
        <f>_xlfn.IFNA(VLOOKUP(TRIM(#REF!),Data!$A:$D,4,0)*#REF!,0)</f>
        <v>#REF!</v>
      </c>
      <c r="L49">
        <f>IF(TRIM('DL 1'!G50)="EDCLNHT0IRNLI",20000,0)</f>
        <v>0</v>
      </c>
      <c r="M49">
        <f>IF(ISERROR(MATCH('DL 1'!A50,#REF!,0)),0,J49*2)</f>
        <v>0</v>
      </c>
      <c r="N49" t="e">
        <f>#REF!</f>
        <v>#REF!</v>
      </c>
      <c r="O49">
        <f>_xlfn.IFNA(VLOOKUP(RIGHT(VLOOKUP(TRIM('DL 1'!G50),Data!$A:$B,2,0),1),Data!$L$23:$M$30,2,0),0)</f>
        <v>0</v>
      </c>
      <c r="P49">
        <f t="shared" si="9"/>
        <v>0</v>
      </c>
      <c r="Q49" s="7" t="b">
        <f t="shared" si="1"/>
        <v>0</v>
      </c>
      <c r="R49" s="27">
        <f>INCENTIVE!$E$8</f>
        <v>130000000</v>
      </c>
      <c r="S49">
        <f>'DL 1'!D50</f>
        <v>0</v>
      </c>
      <c r="T49" t="str">
        <f t="shared" si="2"/>
        <v>1</v>
      </c>
      <c r="V49" t="str">
        <f t="shared" si="3"/>
        <v>1</v>
      </c>
      <c r="W49">
        <f t="shared" si="4"/>
        <v>0.25</v>
      </c>
      <c r="X49" s="7">
        <f>'DL 1'!E50</f>
        <v>0</v>
      </c>
      <c r="Y49" s="69">
        <f>'DL 1'!G50</f>
        <v>0</v>
      </c>
      <c r="AC49" t="str">
        <f>IFERROR(VLOOKUP(Y49,Data!$G$65:$L$69,2,0) *X49,"")</f>
        <v/>
      </c>
      <c r="AD49" s="7">
        <f t="shared" si="5"/>
        <v>0</v>
      </c>
      <c r="AE49">
        <f>'DL 1'!F50</f>
        <v>0</v>
      </c>
      <c r="AF49" t="str">
        <f>IFERROR(VLOOKUP(Y49,Data!$G$65:$K$79,4,0),"")</f>
        <v/>
      </c>
      <c r="AG49" s="51" t="e">
        <f>#REF!</f>
        <v>#REF!</v>
      </c>
      <c r="AK49">
        <f t="shared" si="6"/>
        <v>0</v>
      </c>
      <c r="AL49">
        <f t="shared" si="10"/>
        <v>0</v>
      </c>
      <c r="AM49" s="70">
        <f t="shared" si="7"/>
        <v>0</v>
      </c>
      <c r="AN49" s="7" t="b">
        <f t="shared" si="8"/>
        <v>0</v>
      </c>
    </row>
    <row r="50" spans="1:40" x14ac:dyDescent="0.3">
      <c r="A50" s="50">
        <f>IF(D50="A",_xlfn.IFNA(INDEX(Data!$H$24:$J$28,MATCH('DL 1'!E51,Data!$G$24:$G$28,1),MATCH('DL 1'!D51,Data!$H$23:$J$23,1)),0),0)</f>
        <v>0</v>
      </c>
      <c r="B50">
        <f>IF('DL 1'!F51="Y",Q50,0)</f>
        <v>0</v>
      </c>
      <c r="C50" t="e">
        <f>_xlfn.IFNA(INDEX(Data!$H$24:$J$28,MATCH(#REF!,Data!$G$24:$G$28,1),MATCH(#REF!,Data!$H$23:$J$23,1)),0)</f>
        <v>#REF!</v>
      </c>
      <c r="D50" t="str">
        <f>RIGHT(TRIM('DL 1'!G51),1)</f>
        <v/>
      </c>
      <c r="E50" s="8">
        <f>'DL 1'!E51*'DL 1'!D51</f>
        <v>0</v>
      </c>
      <c r="F50" t="str">
        <f>_xlfn.IFNA(VLOOKUP(TRIM('DL 1'!G51),Data!$A:$C,3,0),"")</f>
        <v/>
      </c>
      <c r="G50" s="7">
        <f>'DL 1'!E51</f>
        <v>0</v>
      </c>
      <c r="H50" s="21">
        <f>_xlfn.IFNA(VLOOKUP(TRIM('DL 1'!G51),Data!$A:$D,4,0),0)</f>
        <v>0</v>
      </c>
      <c r="I50">
        <f>_xlfn.IFNA(INDEX(Data!$G$5:$K$10,MATCH('DL 1'!D51,Data!$F$5:$F$10,1),MATCH(_xlfn.SINGLE(#REF!),Data!$G$4:$K$4,1)),0)</f>
        <v>0</v>
      </c>
      <c r="J50">
        <f>_xlfn.IFNA(IF(VLOOKUP(TRIM('DL 1'!G51),Data!$A:$C,3,0)="ST1",H50*I50*G50,IF(VLOOKUP(TRIM('DL 1'!G51),Data!$A:$C,3,0)="IR0",H50*G50,MIN(H50:I50)*G50)),0)</f>
        <v>0</v>
      </c>
      <c r="K50" t="e">
        <f>_xlfn.IFNA(VLOOKUP(TRIM(#REF!),Data!$A:$D,4,0)*#REF!,0)</f>
        <v>#REF!</v>
      </c>
      <c r="L50">
        <f>IF(TRIM('DL 1'!G51)="EDCLNHT0IRNLI",20000,0)</f>
        <v>0</v>
      </c>
      <c r="M50">
        <f>IF(ISERROR(MATCH('DL 1'!A51,#REF!,0)),0,J50*2)</f>
        <v>0</v>
      </c>
      <c r="N50" t="e">
        <f>#REF!</f>
        <v>#REF!</v>
      </c>
      <c r="O50">
        <f>_xlfn.IFNA(VLOOKUP(RIGHT(VLOOKUP(TRIM('DL 1'!G51),Data!$A:$B,2,0),1),Data!$L$23:$M$30,2,0),0)</f>
        <v>0</v>
      </c>
      <c r="P50">
        <f t="shared" si="9"/>
        <v>0</v>
      </c>
      <c r="Q50" s="7" t="b">
        <f t="shared" si="1"/>
        <v>0</v>
      </c>
      <c r="R50" s="27">
        <f>INCENTIVE!$E$8</f>
        <v>130000000</v>
      </c>
      <c r="S50">
        <f>'DL 1'!D51</f>
        <v>0</v>
      </c>
      <c r="T50" t="str">
        <f t="shared" si="2"/>
        <v>1</v>
      </c>
      <c r="V50" t="str">
        <f t="shared" si="3"/>
        <v>1</v>
      </c>
      <c r="W50">
        <f t="shared" si="4"/>
        <v>0.25</v>
      </c>
      <c r="X50" s="7">
        <f>'DL 1'!E51</f>
        <v>0</v>
      </c>
      <c r="Y50" s="69">
        <f>'DL 1'!G51</f>
        <v>0</v>
      </c>
      <c r="AC50" t="str">
        <f>IFERROR(VLOOKUP(Y50,Data!$G$65:$L$69,2,0) *X50,"")</f>
        <v/>
      </c>
      <c r="AD50" s="7">
        <f t="shared" si="5"/>
        <v>0</v>
      </c>
      <c r="AE50">
        <f>'DL 1'!F51</f>
        <v>0</v>
      </c>
      <c r="AF50" t="str">
        <f>IFERROR(VLOOKUP(Y50,Data!$G$65:$K$79,4,0),"")</f>
        <v/>
      </c>
      <c r="AG50" s="51" t="e">
        <f>#REF!</f>
        <v>#REF!</v>
      </c>
      <c r="AK50">
        <f t="shared" si="6"/>
        <v>0</v>
      </c>
      <c r="AL50">
        <f t="shared" si="10"/>
        <v>0</v>
      </c>
      <c r="AM50" s="70">
        <f t="shared" si="7"/>
        <v>0</v>
      </c>
      <c r="AN50" s="7" t="b">
        <f t="shared" si="8"/>
        <v>0</v>
      </c>
    </row>
    <row r="51" spans="1:40" x14ac:dyDescent="0.3">
      <c r="A51" s="50">
        <f>IF(D51="A",_xlfn.IFNA(INDEX(Data!$H$24:$J$28,MATCH('DL 1'!E52,Data!$G$24:$G$28,1),MATCH('DL 1'!D52,Data!$H$23:$J$23,1)),0),0)</f>
        <v>0</v>
      </c>
      <c r="B51">
        <f>IF('DL 1'!F52="Y",Q51,0)</f>
        <v>0</v>
      </c>
      <c r="C51" t="e">
        <f>_xlfn.IFNA(INDEX(Data!$H$24:$J$28,MATCH(#REF!,Data!$G$24:$G$28,1),MATCH(#REF!,Data!$H$23:$J$23,1)),0)</f>
        <v>#REF!</v>
      </c>
      <c r="D51" t="str">
        <f>RIGHT(TRIM('DL 1'!G52),1)</f>
        <v/>
      </c>
      <c r="E51" s="8">
        <f>'DL 1'!E52*'DL 1'!D52</f>
        <v>0</v>
      </c>
      <c r="F51" t="str">
        <f>_xlfn.IFNA(VLOOKUP(TRIM('DL 1'!G52),Data!$A:$C,3,0),"")</f>
        <v/>
      </c>
      <c r="G51" s="7">
        <f>'DL 1'!E52</f>
        <v>0</v>
      </c>
      <c r="H51" s="21">
        <f>_xlfn.IFNA(VLOOKUP(TRIM('DL 1'!G52),Data!$A:$D,4,0),0)</f>
        <v>0</v>
      </c>
      <c r="I51">
        <f>_xlfn.IFNA(INDEX(Data!$G$5:$K$10,MATCH('DL 1'!D52,Data!$F$5:$F$10,1),MATCH(_xlfn.SINGLE(#REF!),Data!$G$4:$K$4,1)),0)</f>
        <v>0</v>
      </c>
      <c r="J51">
        <f>_xlfn.IFNA(IF(VLOOKUP(TRIM('DL 1'!G52),Data!$A:$C,3,0)="ST1",H51*I51*G51,IF(VLOOKUP(TRIM('DL 1'!G52),Data!$A:$C,3,0)="IR0",H51*G51,MIN(H51:I51)*G51)),0)</f>
        <v>0</v>
      </c>
      <c r="K51" t="e">
        <f>_xlfn.IFNA(VLOOKUP(TRIM(#REF!),Data!$A:$D,4,0)*#REF!,0)</f>
        <v>#REF!</v>
      </c>
      <c r="L51">
        <f>IF(TRIM('DL 1'!G52)="EDCLNHT0IRNLI",20000,0)</f>
        <v>0</v>
      </c>
      <c r="M51">
        <f>IF(ISERROR(MATCH('DL 1'!A52,#REF!,0)),0,J51*2)</f>
        <v>0</v>
      </c>
      <c r="N51" t="e">
        <f>#REF!</f>
        <v>#REF!</v>
      </c>
      <c r="O51">
        <f>_xlfn.IFNA(VLOOKUP(RIGHT(VLOOKUP(TRIM('DL 1'!G52),Data!$A:$B,2,0),1),Data!$L$23:$M$30,2,0),0)</f>
        <v>0</v>
      </c>
      <c r="P51">
        <f t="shared" si="9"/>
        <v>0</v>
      </c>
      <c r="Q51" s="7" t="b">
        <f t="shared" si="1"/>
        <v>0</v>
      </c>
      <c r="R51" s="27">
        <f>INCENTIVE!$E$8</f>
        <v>130000000</v>
      </c>
      <c r="S51">
        <f>'DL 1'!D52</f>
        <v>0</v>
      </c>
      <c r="T51" t="str">
        <f t="shared" si="2"/>
        <v>1</v>
      </c>
      <c r="V51" t="str">
        <f t="shared" si="3"/>
        <v>1</v>
      </c>
      <c r="W51">
        <f t="shared" si="4"/>
        <v>0.25</v>
      </c>
      <c r="X51" s="7">
        <f>'DL 1'!E52</f>
        <v>0</v>
      </c>
      <c r="Y51" s="69">
        <f>'DL 1'!G52</f>
        <v>0</v>
      </c>
      <c r="AC51" t="str">
        <f>IFERROR(VLOOKUP(Y51,Data!$G$65:$L$69,2,0) *X51,"")</f>
        <v/>
      </c>
      <c r="AD51" s="7">
        <f t="shared" si="5"/>
        <v>0</v>
      </c>
      <c r="AE51">
        <f>'DL 1'!F52</f>
        <v>0</v>
      </c>
      <c r="AF51" t="str">
        <f>IFERROR(VLOOKUP(Y51,Data!$G$65:$K$79,4,0),"")</f>
        <v/>
      </c>
      <c r="AG51" s="51" t="e">
        <f>#REF!</f>
        <v>#REF!</v>
      </c>
      <c r="AK51">
        <f t="shared" si="6"/>
        <v>0</v>
      </c>
      <c r="AL51">
        <f t="shared" si="10"/>
        <v>0</v>
      </c>
      <c r="AM51" s="70">
        <f t="shared" si="7"/>
        <v>0</v>
      </c>
      <c r="AN51" s="7" t="b">
        <f t="shared" si="8"/>
        <v>0</v>
      </c>
    </row>
    <row r="52" spans="1:40" x14ac:dyDescent="0.3">
      <c r="A52" s="50">
        <f>IF(D52="A",_xlfn.IFNA(INDEX(Data!$H$24:$J$28,MATCH('DL 1'!E53,Data!$G$24:$G$28,1),MATCH('DL 1'!D53,Data!$H$23:$J$23,1)),0),0)</f>
        <v>0</v>
      </c>
      <c r="B52">
        <f>IF('DL 1'!F53="Y",Q52,0)</f>
        <v>0</v>
      </c>
      <c r="C52" t="e">
        <f>_xlfn.IFNA(INDEX(Data!$H$24:$J$28,MATCH(#REF!,Data!$G$24:$G$28,1),MATCH(#REF!,Data!$H$23:$J$23,1)),0)</f>
        <v>#REF!</v>
      </c>
      <c r="D52" t="str">
        <f>RIGHT(TRIM('DL 1'!G53),1)</f>
        <v/>
      </c>
      <c r="E52" s="8">
        <f>'DL 1'!E53*'DL 1'!D53</f>
        <v>0</v>
      </c>
      <c r="F52" t="str">
        <f>_xlfn.IFNA(VLOOKUP(TRIM('DL 1'!G53),Data!$A:$C,3,0),"")</f>
        <v/>
      </c>
      <c r="G52" s="7">
        <f>'DL 1'!E53</f>
        <v>0</v>
      </c>
      <c r="H52" s="21">
        <f>_xlfn.IFNA(VLOOKUP(TRIM('DL 1'!G53),Data!$A:$D,4,0),0)</f>
        <v>0</v>
      </c>
      <c r="I52">
        <f>_xlfn.IFNA(INDEX(Data!$G$5:$K$10,MATCH('DL 1'!D53,Data!$F$5:$F$10,1),MATCH(_xlfn.SINGLE(#REF!),Data!$G$4:$K$4,1)),0)</f>
        <v>0</v>
      </c>
      <c r="J52">
        <f>_xlfn.IFNA(IF(VLOOKUP(TRIM('DL 1'!G53),Data!$A:$C,3,0)="ST1",H52*I52*G52,IF(VLOOKUP(TRIM('DL 1'!G53),Data!$A:$C,3,0)="IR0",H52*G52,MIN(H52:I52)*G52)),0)</f>
        <v>0</v>
      </c>
      <c r="K52" t="e">
        <f>_xlfn.IFNA(VLOOKUP(TRIM(#REF!),Data!$A:$D,4,0)*#REF!,0)</f>
        <v>#REF!</v>
      </c>
      <c r="L52">
        <f>IF(TRIM('DL 1'!G53)="EDCLNHT0IRNLI",20000,0)</f>
        <v>0</v>
      </c>
      <c r="M52">
        <f>IF(ISERROR(MATCH('DL 1'!A53,#REF!,0)),0,J52*2)</f>
        <v>0</v>
      </c>
      <c r="N52" t="e">
        <f>#REF!</f>
        <v>#REF!</v>
      </c>
      <c r="O52">
        <f>_xlfn.IFNA(VLOOKUP(RIGHT(VLOOKUP(TRIM('DL 1'!G53),Data!$A:$B,2,0),1),Data!$L$23:$M$30,2,0),0)</f>
        <v>0</v>
      </c>
      <c r="P52">
        <f t="shared" si="9"/>
        <v>0</v>
      </c>
      <c r="Q52" s="7" t="b">
        <f t="shared" si="1"/>
        <v>0</v>
      </c>
      <c r="R52" s="27">
        <f>INCENTIVE!$E$8</f>
        <v>130000000</v>
      </c>
      <c r="S52">
        <f>'DL 1'!D53</f>
        <v>0</v>
      </c>
      <c r="T52" t="str">
        <f t="shared" si="2"/>
        <v>1</v>
      </c>
      <c r="V52" t="str">
        <f t="shared" si="3"/>
        <v>1</v>
      </c>
      <c r="W52">
        <f t="shared" si="4"/>
        <v>0.25</v>
      </c>
      <c r="X52" s="7">
        <f>'DL 1'!E53</f>
        <v>0</v>
      </c>
      <c r="Y52" s="69">
        <f>'DL 1'!G53</f>
        <v>0</v>
      </c>
      <c r="AC52" t="str">
        <f>IFERROR(VLOOKUP(Y52,Data!$G$65:$L$69,2,0) *X52,"")</f>
        <v/>
      </c>
      <c r="AD52" s="7">
        <f t="shared" si="5"/>
        <v>0</v>
      </c>
      <c r="AE52">
        <f>'DL 1'!F53</f>
        <v>0</v>
      </c>
      <c r="AF52" t="str">
        <f>IFERROR(VLOOKUP(Y52,Data!$G$65:$K$79,4,0),"")</f>
        <v/>
      </c>
      <c r="AG52" s="51" t="e">
        <f>#REF!</f>
        <v>#REF!</v>
      </c>
      <c r="AK52">
        <f t="shared" si="6"/>
        <v>0</v>
      </c>
      <c r="AL52">
        <f t="shared" si="10"/>
        <v>0</v>
      </c>
      <c r="AM52" s="70">
        <f t="shared" si="7"/>
        <v>0</v>
      </c>
      <c r="AN52" s="7" t="b">
        <f t="shared" si="8"/>
        <v>0</v>
      </c>
    </row>
    <row r="53" spans="1:40" x14ac:dyDescent="0.3">
      <c r="A53" s="50">
        <f>IF(D53="A",_xlfn.IFNA(INDEX(Data!$H$24:$J$28,MATCH('DL 1'!E54,Data!$G$24:$G$28,1),MATCH('DL 1'!D54,Data!$H$23:$J$23,1)),0),0)</f>
        <v>0</v>
      </c>
      <c r="B53">
        <f>IF('DL 1'!F54="Y",Q53,0)</f>
        <v>0</v>
      </c>
      <c r="C53" t="e">
        <f>_xlfn.IFNA(INDEX(Data!$H$24:$J$28,MATCH(#REF!,Data!$G$24:$G$28,1),MATCH(#REF!,Data!$H$23:$J$23,1)),0)</f>
        <v>#REF!</v>
      </c>
      <c r="D53" t="str">
        <f>RIGHT(TRIM('DL 1'!G54),1)</f>
        <v/>
      </c>
      <c r="E53" s="8">
        <f>'DL 1'!E54*'DL 1'!D54</f>
        <v>0</v>
      </c>
      <c r="F53" t="str">
        <f>_xlfn.IFNA(VLOOKUP(TRIM('DL 1'!G54),Data!$A:$C,3,0),"")</f>
        <v/>
      </c>
      <c r="G53" s="7">
        <f>'DL 1'!E54</f>
        <v>0</v>
      </c>
      <c r="H53" s="21">
        <f>_xlfn.IFNA(VLOOKUP(TRIM('DL 1'!G54),Data!$A:$D,4,0),0)</f>
        <v>0</v>
      </c>
      <c r="I53">
        <f>_xlfn.IFNA(INDEX(Data!$G$5:$K$10,MATCH('DL 1'!D54,Data!$F$5:$F$10,1),MATCH(_xlfn.SINGLE(#REF!),Data!$G$4:$K$4,1)),0)</f>
        <v>0</v>
      </c>
      <c r="J53">
        <f>_xlfn.IFNA(IF(VLOOKUP(TRIM('DL 1'!G54),Data!$A:$C,3,0)="ST1",H53*I53*G53,IF(VLOOKUP(TRIM('DL 1'!G54),Data!$A:$C,3,0)="IR0",H53*G53,MIN(H53:I53)*G53)),0)</f>
        <v>0</v>
      </c>
      <c r="K53" t="e">
        <f>_xlfn.IFNA(VLOOKUP(TRIM(#REF!),Data!$A:$D,4,0)*#REF!,0)</f>
        <v>#REF!</v>
      </c>
      <c r="L53">
        <f>IF(TRIM('DL 1'!G54)="EDCLNHT0IRNLI",20000,0)</f>
        <v>0</v>
      </c>
      <c r="M53">
        <f>IF(ISERROR(MATCH('DL 1'!A54,#REF!,0)),0,J53*2)</f>
        <v>0</v>
      </c>
      <c r="N53" t="e">
        <f>#REF!</f>
        <v>#REF!</v>
      </c>
      <c r="O53">
        <f>_xlfn.IFNA(VLOOKUP(RIGHT(VLOOKUP(TRIM('DL 1'!G54),Data!$A:$B,2,0),1),Data!$L$23:$M$30,2,0),0)</f>
        <v>0</v>
      </c>
      <c r="P53">
        <f t="shared" si="9"/>
        <v>0</v>
      </c>
      <c r="Q53" s="7" t="b">
        <f t="shared" si="1"/>
        <v>0</v>
      </c>
      <c r="R53" s="27">
        <f>INCENTIVE!$E$8</f>
        <v>130000000</v>
      </c>
      <c r="S53">
        <f>'DL 1'!D54</f>
        <v>0</v>
      </c>
      <c r="T53" t="str">
        <f t="shared" si="2"/>
        <v>1</v>
      </c>
      <c r="V53" t="str">
        <f t="shared" si="3"/>
        <v>1</v>
      </c>
      <c r="W53">
        <f t="shared" si="4"/>
        <v>0.25</v>
      </c>
      <c r="X53" s="7">
        <f>'DL 1'!E54</f>
        <v>0</v>
      </c>
      <c r="Y53" s="69">
        <f>'DL 1'!G54</f>
        <v>0</v>
      </c>
      <c r="AC53" t="str">
        <f>IFERROR(VLOOKUP(Y53,Data!$G$65:$L$69,2,0) *X53,"")</f>
        <v/>
      </c>
      <c r="AD53" s="7">
        <f t="shared" si="5"/>
        <v>0</v>
      </c>
      <c r="AE53">
        <f>'DL 1'!F54</f>
        <v>0</v>
      </c>
      <c r="AF53" t="str">
        <f>IFERROR(VLOOKUP(Y53,Data!$G$65:$K$79,4,0),"")</f>
        <v/>
      </c>
      <c r="AG53" s="51" t="e">
        <f>#REF!</f>
        <v>#REF!</v>
      </c>
      <c r="AK53">
        <f t="shared" si="6"/>
        <v>0</v>
      </c>
      <c r="AL53">
        <f t="shared" si="10"/>
        <v>0</v>
      </c>
      <c r="AM53" s="70">
        <f t="shared" si="7"/>
        <v>0</v>
      </c>
      <c r="AN53" s="7" t="b">
        <f t="shared" si="8"/>
        <v>0</v>
      </c>
    </row>
    <row r="54" spans="1:40" x14ac:dyDescent="0.3">
      <c r="A54" s="50">
        <f>IF(D54="A",_xlfn.IFNA(INDEX(Data!$H$24:$J$28,MATCH('DL 1'!E55,Data!$G$24:$G$28,1),MATCH('DL 1'!D55,Data!$H$23:$J$23,1)),0),0)</f>
        <v>0</v>
      </c>
      <c r="B54">
        <f>IF('DL 1'!F55="Y",Q54,0)</f>
        <v>0</v>
      </c>
      <c r="C54" t="e">
        <f>_xlfn.IFNA(INDEX(Data!$H$24:$J$28,MATCH(#REF!,Data!$G$24:$G$28,1),MATCH(#REF!,Data!$H$23:$J$23,1)),0)</f>
        <v>#REF!</v>
      </c>
      <c r="D54" t="str">
        <f>RIGHT(TRIM('DL 1'!G55),1)</f>
        <v/>
      </c>
      <c r="E54" s="8">
        <f>'DL 1'!E55*'DL 1'!D55</f>
        <v>0</v>
      </c>
      <c r="F54" t="str">
        <f>_xlfn.IFNA(VLOOKUP(TRIM('DL 1'!G55),Data!$A:$C,3,0),"")</f>
        <v/>
      </c>
      <c r="G54" s="7">
        <f>'DL 1'!E55</f>
        <v>0</v>
      </c>
      <c r="H54" s="21">
        <f>_xlfn.IFNA(VLOOKUP(TRIM('DL 1'!G55),Data!$A:$D,4,0),0)</f>
        <v>0</v>
      </c>
      <c r="I54">
        <f>_xlfn.IFNA(INDEX(Data!$G$5:$K$10,MATCH('DL 1'!D55,Data!$F$5:$F$10,1),MATCH(_xlfn.SINGLE(#REF!),Data!$G$4:$K$4,1)),0)</f>
        <v>0</v>
      </c>
      <c r="J54">
        <f>_xlfn.IFNA(IF(VLOOKUP(TRIM('DL 1'!G55),Data!$A:$C,3,0)="ST1",H54*I54*G54,IF(VLOOKUP(TRIM('DL 1'!G55),Data!$A:$C,3,0)="IR0",H54*G54,MIN(H54:I54)*G54)),0)</f>
        <v>0</v>
      </c>
      <c r="K54" t="e">
        <f>_xlfn.IFNA(VLOOKUP(TRIM(#REF!),Data!$A:$D,4,0)*#REF!,0)</f>
        <v>#REF!</v>
      </c>
      <c r="L54">
        <f>IF(TRIM('DL 1'!G55)="EDCLNHT0IRNLI",20000,0)</f>
        <v>0</v>
      </c>
      <c r="M54">
        <f>IF(ISERROR(MATCH('DL 1'!A55,#REF!,0)),0,J54*2)</f>
        <v>0</v>
      </c>
      <c r="N54" t="e">
        <f>#REF!</f>
        <v>#REF!</v>
      </c>
      <c r="O54">
        <f>_xlfn.IFNA(VLOOKUP(RIGHT(VLOOKUP(TRIM('DL 1'!G55),Data!$A:$B,2,0),1),Data!$L$23:$M$30,2,0),0)</f>
        <v>0</v>
      </c>
      <c r="P54">
        <f t="shared" si="9"/>
        <v>0</v>
      </c>
      <c r="Q54" s="7" t="b">
        <f t="shared" si="1"/>
        <v>0</v>
      </c>
      <c r="R54" s="27">
        <f>INCENTIVE!$E$8</f>
        <v>130000000</v>
      </c>
      <c r="S54">
        <f>'DL 1'!D55</f>
        <v>0</v>
      </c>
      <c r="T54" t="str">
        <f t="shared" si="2"/>
        <v>1</v>
      </c>
      <c r="V54" t="str">
        <f t="shared" si="3"/>
        <v>1</v>
      </c>
      <c r="W54">
        <f t="shared" si="4"/>
        <v>0.25</v>
      </c>
      <c r="X54" s="7">
        <f>'DL 1'!E55</f>
        <v>0</v>
      </c>
      <c r="Y54" s="69">
        <f>'DL 1'!G55</f>
        <v>0</v>
      </c>
      <c r="AC54" t="str">
        <f>IFERROR(VLOOKUP(Y54,Data!$G$65:$L$69,2,0) *X54,"")</f>
        <v/>
      </c>
      <c r="AD54" s="7">
        <f t="shared" si="5"/>
        <v>0</v>
      </c>
      <c r="AE54">
        <f>'DL 1'!F55</f>
        <v>0</v>
      </c>
      <c r="AF54" t="str">
        <f>IFERROR(VLOOKUP(Y54,Data!$G$65:$K$79,4,0),"")</f>
        <v/>
      </c>
      <c r="AG54" s="51" t="e">
        <f>#REF!</f>
        <v>#REF!</v>
      </c>
      <c r="AK54">
        <f t="shared" si="6"/>
        <v>0</v>
      </c>
      <c r="AL54">
        <f t="shared" si="10"/>
        <v>0</v>
      </c>
      <c r="AM54" s="70">
        <f t="shared" si="7"/>
        <v>0</v>
      </c>
      <c r="AN54" s="7" t="b">
        <f t="shared" si="8"/>
        <v>0</v>
      </c>
    </row>
    <row r="55" spans="1:40" x14ac:dyDescent="0.3">
      <c r="A55" s="50">
        <f>IF(D55="A",_xlfn.IFNA(INDEX(Data!$H$24:$J$28,MATCH('DL 1'!E56,Data!$G$24:$G$28,1),MATCH('DL 1'!D56,Data!$H$23:$J$23,1)),0),0)</f>
        <v>0</v>
      </c>
      <c r="B55">
        <f>IF('DL 1'!F56="Y",Q55,0)</f>
        <v>0</v>
      </c>
      <c r="C55" t="e">
        <f>_xlfn.IFNA(INDEX(Data!$H$24:$J$28,MATCH(#REF!,Data!$G$24:$G$28,1),MATCH(#REF!,Data!$H$23:$J$23,1)),0)</f>
        <v>#REF!</v>
      </c>
      <c r="D55" t="str">
        <f>RIGHT(TRIM('DL 1'!G56),1)</f>
        <v/>
      </c>
      <c r="E55" s="8">
        <f>'DL 1'!E56*'DL 1'!D56</f>
        <v>0</v>
      </c>
      <c r="F55" t="str">
        <f>_xlfn.IFNA(VLOOKUP(TRIM('DL 1'!G56),Data!$A:$C,3,0),"")</f>
        <v/>
      </c>
      <c r="G55" s="7">
        <f>'DL 1'!E56</f>
        <v>0</v>
      </c>
      <c r="H55" s="21">
        <f>_xlfn.IFNA(VLOOKUP(TRIM('DL 1'!G56),Data!$A:$D,4,0),0)</f>
        <v>0</v>
      </c>
      <c r="I55">
        <f>_xlfn.IFNA(INDEX(Data!$G$5:$K$10,MATCH('DL 1'!D56,Data!$F$5:$F$10,1),MATCH(_xlfn.SINGLE(#REF!),Data!$G$4:$K$4,1)),0)</f>
        <v>0</v>
      </c>
      <c r="J55">
        <f>_xlfn.IFNA(IF(VLOOKUP(TRIM('DL 1'!G56),Data!$A:$C,3,0)="ST1",H55*I55*G55,IF(VLOOKUP(TRIM('DL 1'!G56),Data!$A:$C,3,0)="IR0",H55*G55,MIN(H55:I55)*G55)),0)</f>
        <v>0</v>
      </c>
      <c r="K55" t="e">
        <f>_xlfn.IFNA(VLOOKUP(TRIM(#REF!),Data!$A:$D,4,0)*#REF!,0)</f>
        <v>#REF!</v>
      </c>
      <c r="L55">
        <f>IF(TRIM('DL 1'!G56)="EDCLNHT0IRNLI",20000,0)</f>
        <v>0</v>
      </c>
      <c r="M55">
        <f>IF(ISERROR(MATCH('DL 1'!A56,#REF!,0)),0,J55*2)</f>
        <v>0</v>
      </c>
      <c r="N55" t="e">
        <f>#REF!</f>
        <v>#REF!</v>
      </c>
      <c r="O55">
        <f>_xlfn.IFNA(VLOOKUP(RIGHT(VLOOKUP(TRIM('DL 1'!G56),Data!$A:$B,2,0),1),Data!$L$23:$M$30,2,0),0)</f>
        <v>0</v>
      </c>
      <c r="P55">
        <f t="shared" si="9"/>
        <v>0</v>
      </c>
      <c r="Q55" s="7" t="b">
        <f t="shared" si="1"/>
        <v>0</v>
      </c>
      <c r="R55" s="27">
        <f>INCENTIVE!$E$8</f>
        <v>130000000</v>
      </c>
      <c r="S55">
        <f>'DL 1'!D56</f>
        <v>0</v>
      </c>
      <c r="T55" t="str">
        <f t="shared" si="2"/>
        <v>1</v>
      </c>
      <c r="V55" t="str">
        <f t="shared" si="3"/>
        <v>1</v>
      </c>
      <c r="W55">
        <f t="shared" si="4"/>
        <v>0.25</v>
      </c>
      <c r="X55" s="7">
        <f>'DL 1'!E56</f>
        <v>0</v>
      </c>
      <c r="Y55" s="69">
        <f>'DL 1'!G56</f>
        <v>0</v>
      </c>
      <c r="AC55" t="str">
        <f>IFERROR(VLOOKUP(Y55,Data!$G$65:$L$69,2,0) *X55,"")</f>
        <v/>
      </c>
      <c r="AD55" s="7">
        <f t="shared" si="5"/>
        <v>0</v>
      </c>
      <c r="AE55">
        <f>'DL 1'!F56</f>
        <v>0</v>
      </c>
      <c r="AF55" t="str">
        <f>IFERROR(VLOOKUP(Y55,Data!$G$65:$K$79,4,0),"")</f>
        <v/>
      </c>
      <c r="AG55" s="51" t="e">
        <f>#REF!</f>
        <v>#REF!</v>
      </c>
      <c r="AK55">
        <f t="shared" si="6"/>
        <v>0</v>
      </c>
      <c r="AL55">
        <f t="shared" si="10"/>
        <v>0</v>
      </c>
      <c r="AM55" s="70">
        <f t="shared" si="7"/>
        <v>0</v>
      </c>
      <c r="AN55" s="7" t="b">
        <f t="shared" si="8"/>
        <v>0</v>
      </c>
    </row>
    <row r="56" spans="1:40" x14ac:dyDescent="0.3">
      <c r="A56" s="50">
        <f>IF(D56="A",_xlfn.IFNA(INDEX(Data!$H$24:$J$28,MATCH('DL 1'!E57,Data!$G$24:$G$28,1),MATCH('DL 1'!D57,Data!$H$23:$J$23,1)),0),0)</f>
        <v>0</v>
      </c>
      <c r="B56">
        <f>IF('DL 1'!F57="Y",Q56,0)</f>
        <v>0</v>
      </c>
      <c r="C56" t="e">
        <f>_xlfn.IFNA(INDEX(Data!$H$24:$J$28,MATCH(#REF!,Data!$G$24:$G$28,1),MATCH(#REF!,Data!$H$23:$J$23,1)),0)</f>
        <v>#REF!</v>
      </c>
      <c r="D56" t="str">
        <f>RIGHT(TRIM('DL 1'!G57),1)</f>
        <v/>
      </c>
      <c r="E56" s="8">
        <f>'DL 1'!E57*'DL 1'!D57</f>
        <v>0</v>
      </c>
      <c r="F56" t="str">
        <f>_xlfn.IFNA(VLOOKUP(TRIM('DL 1'!G57),Data!$A:$C,3,0),"")</f>
        <v/>
      </c>
      <c r="G56" s="7">
        <f>'DL 1'!E57</f>
        <v>0</v>
      </c>
      <c r="H56" s="21">
        <f>_xlfn.IFNA(VLOOKUP(TRIM('DL 1'!G57),Data!$A:$D,4,0),0)</f>
        <v>0</v>
      </c>
      <c r="I56">
        <f>_xlfn.IFNA(INDEX(Data!$G$5:$K$10,MATCH('DL 1'!D57,Data!$F$5:$F$10,1),MATCH(_xlfn.SINGLE(#REF!),Data!$G$4:$K$4,1)),0)</f>
        <v>0</v>
      </c>
      <c r="J56">
        <f>_xlfn.IFNA(IF(VLOOKUP(TRIM('DL 1'!G57),Data!$A:$C,3,0)="ST1",H56*I56*G56,IF(VLOOKUP(TRIM('DL 1'!G57),Data!$A:$C,3,0)="IR0",H56*G56,MIN(H56:I56)*G56)),0)</f>
        <v>0</v>
      </c>
      <c r="K56" t="e">
        <f>_xlfn.IFNA(VLOOKUP(TRIM(#REF!),Data!$A:$D,4,0)*#REF!,0)</f>
        <v>#REF!</v>
      </c>
      <c r="L56">
        <f>IF(TRIM('DL 1'!G57)="EDCLNHT0IRNLI",20000,0)</f>
        <v>0</v>
      </c>
      <c r="M56">
        <f>IF(ISERROR(MATCH('DL 1'!A57,#REF!,0)),0,J56*2)</f>
        <v>0</v>
      </c>
      <c r="N56" t="e">
        <f>#REF!</f>
        <v>#REF!</v>
      </c>
      <c r="O56">
        <f>_xlfn.IFNA(VLOOKUP(RIGHT(VLOOKUP(TRIM('DL 1'!G57),Data!$A:$B,2,0),1),Data!$L$23:$M$30,2,0),0)</f>
        <v>0</v>
      </c>
      <c r="P56">
        <f t="shared" si="9"/>
        <v>0</v>
      </c>
      <c r="Q56" s="7" t="b">
        <f t="shared" si="1"/>
        <v>0</v>
      </c>
      <c r="R56" s="27">
        <f>INCENTIVE!$E$8</f>
        <v>130000000</v>
      </c>
      <c r="S56">
        <f>'DL 1'!D57</f>
        <v>0</v>
      </c>
      <c r="T56" t="str">
        <f t="shared" si="2"/>
        <v>1</v>
      </c>
      <c r="V56" t="str">
        <f t="shared" si="3"/>
        <v>1</v>
      </c>
      <c r="W56">
        <f t="shared" si="4"/>
        <v>0.25</v>
      </c>
      <c r="X56" s="7">
        <f>'DL 1'!E57</f>
        <v>0</v>
      </c>
      <c r="Y56" s="69">
        <f>'DL 1'!G57</f>
        <v>0</v>
      </c>
      <c r="AC56" t="str">
        <f>IFERROR(VLOOKUP(Y56,Data!$G$65:$L$69,2,0) *X56,"")</f>
        <v/>
      </c>
      <c r="AD56" s="7">
        <f t="shared" si="5"/>
        <v>0</v>
      </c>
      <c r="AE56">
        <f>'DL 1'!F57</f>
        <v>0</v>
      </c>
      <c r="AF56" t="str">
        <f>IFERROR(VLOOKUP(Y56,Data!$G$65:$K$79,4,0),"")</f>
        <v/>
      </c>
      <c r="AG56" s="51" t="e">
        <f>#REF!</f>
        <v>#REF!</v>
      </c>
      <c r="AK56">
        <f t="shared" si="6"/>
        <v>0</v>
      </c>
      <c r="AL56">
        <f t="shared" si="10"/>
        <v>0</v>
      </c>
      <c r="AM56" s="70">
        <f t="shared" si="7"/>
        <v>0</v>
      </c>
      <c r="AN56" s="7" t="b">
        <f t="shared" si="8"/>
        <v>0</v>
      </c>
    </row>
    <row r="57" spans="1:40" x14ac:dyDescent="0.3">
      <c r="A57" s="50">
        <f>IF(D57="A",_xlfn.IFNA(INDEX(Data!$H$24:$J$28,MATCH('DL 1'!E58,Data!$G$24:$G$28,1),MATCH('DL 1'!D58,Data!$H$23:$J$23,1)),0),0)</f>
        <v>0</v>
      </c>
      <c r="B57">
        <f>IF('DL 1'!F58="Y",Q57,0)</f>
        <v>0</v>
      </c>
      <c r="C57" t="e">
        <f>_xlfn.IFNA(INDEX(Data!$H$24:$J$28,MATCH(#REF!,Data!$G$24:$G$28,1),MATCH(#REF!,Data!$H$23:$J$23,1)),0)</f>
        <v>#REF!</v>
      </c>
      <c r="D57" t="str">
        <f>RIGHT(TRIM('DL 1'!G58),1)</f>
        <v/>
      </c>
      <c r="E57" s="8">
        <f>'DL 1'!E58*'DL 1'!D58</f>
        <v>0</v>
      </c>
      <c r="F57" t="str">
        <f>_xlfn.IFNA(VLOOKUP(TRIM('DL 1'!G58),Data!$A:$C,3,0),"")</f>
        <v/>
      </c>
      <c r="G57" s="7">
        <f>'DL 1'!E58</f>
        <v>0</v>
      </c>
      <c r="H57" s="21">
        <f>_xlfn.IFNA(VLOOKUP(TRIM('DL 1'!G58),Data!$A:$D,4,0),0)</f>
        <v>0</v>
      </c>
      <c r="I57">
        <f>_xlfn.IFNA(INDEX(Data!$G$5:$K$10,MATCH('DL 1'!D58,Data!$F$5:$F$10,1),MATCH(_xlfn.SINGLE(#REF!),Data!$G$4:$K$4,1)),0)</f>
        <v>0</v>
      </c>
      <c r="J57">
        <f>_xlfn.IFNA(IF(VLOOKUP(TRIM('DL 1'!G58),Data!$A:$C,3,0)="ST1",H57*I57*G57,IF(VLOOKUP(TRIM('DL 1'!G58),Data!$A:$C,3,0)="IR0",H57*G57,MIN(H57:I57)*G57)),0)</f>
        <v>0</v>
      </c>
      <c r="K57" t="e">
        <f>_xlfn.IFNA(VLOOKUP(TRIM(#REF!),Data!$A:$D,4,0)*#REF!,0)</f>
        <v>#REF!</v>
      </c>
      <c r="L57">
        <f>IF(TRIM('DL 1'!G58)="EDCLNHT0IRNLI",20000,0)</f>
        <v>0</v>
      </c>
      <c r="M57">
        <f>IF(ISERROR(MATCH('DL 1'!A58,#REF!,0)),0,J57*2)</f>
        <v>0</v>
      </c>
      <c r="N57" t="e">
        <f>#REF!</f>
        <v>#REF!</v>
      </c>
      <c r="O57">
        <f>_xlfn.IFNA(VLOOKUP(RIGHT(VLOOKUP(TRIM('DL 1'!G58),Data!$A:$B,2,0),1),Data!$L$23:$M$30,2,0),0)</f>
        <v>0</v>
      </c>
      <c r="P57">
        <f t="shared" si="9"/>
        <v>0</v>
      </c>
      <c r="Q57" s="7" t="b">
        <f t="shared" si="1"/>
        <v>0</v>
      </c>
      <c r="R57" s="27">
        <f>INCENTIVE!$E$8</f>
        <v>130000000</v>
      </c>
      <c r="S57">
        <f>'DL 1'!D58</f>
        <v>0</v>
      </c>
      <c r="T57" t="str">
        <f t="shared" si="2"/>
        <v>1</v>
      </c>
      <c r="V57" t="str">
        <f t="shared" si="3"/>
        <v>1</v>
      </c>
      <c r="W57">
        <f t="shared" si="4"/>
        <v>0.25</v>
      </c>
      <c r="X57" s="7">
        <f>'DL 1'!E58</f>
        <v>0</v>
      </c>
      <c r="Y57" s="69">
        <f>'DL 1'!G58</f>
        <v>0</v>
      </c>
      <c r="AC57" t="str">
        <f>IFERROR(VLOOKUP(Y57,Data!$G$65:$L$69,2,0) *X57,"")</f>
        <v/>
      </c>
      <c r="AD57" s="7">
        <f t="shared" si="5"/>
        <v>0</v>
      </c>
      <c r="AE57">
        <f>'DL 1'!F58</f>
        <v>0</v>
      </c>
      <c r="AF57" t="str">
        <f>IFERROR(VLOOKUP(Y57,Data!$G$65:$K$79,4,0),"")</f>
        <v/>
      </c>
      <c r="AG57" s="51" t="e">
        <f>#REF!</f>
        <v>#REF!</v>
      </c>
      <c r="AK57">
        <f t="shared" si="6"/>
        <v>0</v>
      </c>
      <c r="AL57">
        <f t="shared" si="10"/>
        <v>0</v>
      </c>
      <c r="AM57" s="70">
        <f t="shared" si="7"/>
        <v>0</v>
      </c>
      <c r="AN57" s="7" t="b">
        <f t="shared" si="8"/>
        <v>0</v>
      </c>
    </row>
    <row r="58" spans="1:40" x14ac:dyDescent="0.3">
      <c r="A58" s="50">
        <f>IF(D58="A",_xlfn.IFNA(INDEX(Data!$H$24:$J$28,MATCH('DL 1'!E59,Data!$G$24:$G$28,1),MATCH('DL 1'!D59,Data!$H$23:$J$23,1)),0),0)</f>
        <v>0</v>
      </c>
      <c r="B58">
        <f>IF('DL 1'!F59="Y",Q58,0)</f>
        <v>0</v>
      </c>
      <c r="C58" t="e">
        <f>_xlfn.IFNA(INDEX(Data!$H$24:$J$28,MATCH(#REF!,Data!$G$24:$G$28,1),MATCH(#REF!,Data!$H$23:$J$23,1)),0)</f>
        <v>#REF!</v>
      </c>
      <c r="D58" t="str">
        <f>RIGHT(TRIM('DL 1'!G59),1)</f>
        <v/>
      </c>
      <c r="E58" s="8">
        <f>'DL 1'!E59*'DL 1'!D59</f>
        <v>0</v>
      </c>
      <c r="F58" t="str">
        <f>_xlfn.IFNA(VLOOKUP(TRIM('DL 1'!G59),Data!$A:$C,3,0),"")</f>
        <v/>
      </c>
      <c r="G58" s="7">
        <f>'DL 1'!E59</f>
        <v>0</v>
      </c>
      <c r="H58" s="21">
        <f>_xlfn.IFNA(VLOOKUP(TRIM('DL 1'!G59),Data!$A:$D,4,0),0)</f>
        <v>0</v>
      </c>
      <c r="I58">
        <f>_xlfn.IFNA(INDEX(Data!$G$5:$K$10,MATCH('DL 1'!D59,Data!$F$5:$F$10,1),MATCH(_xlfn.SINGLE(#REF!),Data!$G$4:$K$4,1)),0)</f>
        <v>0</v>
      </c>
      <c r="J58">
        <f>_xlfn.IFNA(IF(VLOOKUP(TRIM('DL 1'!G59),Data!$A:$C,3,0)="ST1",H58*I58*G58,IF(VLOOKUP(TRIM('DL 1'!G59),Data!$A:$C,3,0)="IR0",H58*G58,MIN(H58:I58)*G58)),0)</f>
        <v>0</v>
      </c>
      <c r="K58" t="e">
        <f>_xlfn.IFNA(VLOOKUP(TRIM(#REF!),Data!$A:$D,4,0)*#REF!,0)</f>
        <v>#REF!</v>
      </c>
      <c r="L58">
        <f>IF(TRIM('DL 1'!G59)="EDCLNHT0IRNLI",20000,0)</f>
        <v>0</v>
      </c>
      <c r="M58">
        <f>IF(ISERROR(MATCH('DL 1'!A59,#REF!,0)),0,J58*2)</f>
        <v>0</v>
      </c>
      <c r="N58" t="e">
        <f>#REF!</f>
        <v>#REF!</v>
      </c>
      <c r="O58">
        <f>_xlfn.IFNA(VLOOKUP(RIGHT(VLOOKUP(TRIM('DL 1'!G59),Data!$A:$B,2,0),1),Data!$L$23:$M$30,2,0),0)</f>
        <v>0</v>
      </c>
      <c r="P58">
        <f t="shared" si="9"/>
        <v>0</v>
      </c>
      <c r="Q58" s="7" t="b">
        <f t="shared" si="1"/>
        <v>0</v>
      </c>
      <c r="R58" s="27">
        <f>INCENTIVE!$E$8</f>
        <v>130000000</v>
      </c>
      <c r="S58">
        <f>'DL 1'!D59</f>
        <v>0</v>
      </c>
      <c r="T58" t="str">
        <f t="shared" si="2"/>
        <v>1</v>
      </c>
      <c r="V58" t="str">
        <f t="shared" si="3"/>
        <v>1</v>
      </c>
      <c r="W58">
        <f t="shared" si="4"/>
        <v>0.25</v>
      </c>
      <c r="X58" s="7">
        <f>'DL 1'!E59</f>
        <v>0</v>
      </c>
      <c r="Y58" s="69">
        <f>'DL 1'!G59</f>
        <v>0</v>
      </c>
      <c r="AC58" t="str">
        <f>IFERROR(VLOOKUP(Y58,Data!$G$65:$L$69,2,0) *X58,"")</f>
        <v/>
      </c>
      <c r="AD58" s="7">
        <f t="shared" si="5"/>
        <v>0</v>
      </c>
      <c r="AE58">
        <f>'DL 1'!F59</f>
        <v>0</v>
      </c>
      <c r="AF58" t="str">
        <f>IFERROR(VLOOKUP(Y58,Data!$G$65:$K$79,4,0),"")</f>
        <v/>
      </c>
      <c r="AG58" s="51" t="e">
        <f>#REF!</f>
        <v>#REF!</v>
      </c>
      <c r="AK58">
        <f t="shared" si="6"/>
        <v>0</v>
      </c>
      <c r="AL58">
        <f t="shared" si="10"/>
        <v>0</v>
      </c>
      <c r="AM58" s="70">
        <f t="shared" si="7"/>
        <v>0</v>
      </c>
      <c r="AN58" s="7" t="b">
        <f t="shared" si="8"/>
        <v>0</v>
      </c>
    </row>
    <row r="59" spans="1:40" x14ac:dyDescent="0.3">
      <c r="A59" s="50">
        <f>IF(D59="A",_xlfn.IFNA(INDEX(Data!$H$24:$J$28,MATCH('DL 1'!E60,Data!$G$24:$G$28,1),MATCH('DL 1'!D60,Data!$H$23:$J$23,1)),0),0)</f>
        <v>0</v>
      </c>
      <c r="B59">
        <f>IF('DL 1'!F60="Y",Q59,0)</f>
        <v>0</v>
      </c>
      <c r="C59" t="e">
        <f>_xlfn.IFNA(INDEX(Data!$H$24:$J$28,MATCH(#REF!,Data!$G$24:$G$28,1),MATCH(#REF!,Data!$H$23:$J$23,1)),0)</f>
        <v>#REF!</v>
      </c>
      <c r="D59" t="str">
        <f>RIGHT(TRIM('DL 1'!G60),1)</f>
        <v/>
      </c>
      <c r="E59" s="8">
        <f>'DL 1'!E60*'DL 1'!D60</f>
        <v>0</v>
      </c>
      <c r="F59" t="str">
        <f>_xlfn.IFNA(VLOOKUP(TRIM('DL 1'!G60),Data!$A:$C,3,0),"")</f>
        <v/>
      </c>
      <c r="G59" s="7">
        <f>'DL 1'!E60</f>
        <v>0</v>
      </c>
      <c r="H59" s="21">
        <f>_xlfn.IFNA(VLOOKUP(TRIM('DL 1'!G60),Data!$A:$D,4,0),0)</f>
        <v>0</v>
      </c>
      <c r="I59">
        <f>_xlfn.IFNA(INDEX(Data!$G$5:$K$10,MATCH('DL 1'!D60,Data!$F$5:$F$10,1),MATCH(_xlfn.SINGLE(#REF!),Data!$G$4:$K$4,1)),0)</f>
        <v>0</v>
      </c>
      <c r="J59">
        <f>_xlfn.IFNA(IF(VLOOKUP(TRIM('DL 1'!G60),Data!$A:$C,3,0)="ST1",H59*I59*G59,IF(VLOOKUP(TRIM('DL 1'!G60),Data!$A:$C,3,0)="IR0",H59*G59,MIN(H59:I59)*G59)),0)</f>
        <v>0</v>
      </c>
      <c r="K59" t="e">
        <f>_xlfn.IFNA(VLOOKUP(TRIM(#REF!),Data!$A:$D,4,0)*#REF!,0)</f>
        <v>#REF!</v>
      </c>
      <c r="L59">
        <f>IF(TRIM('DL 1'!G60)="EDCLNHT0IRNLI",20000,0)</f>
        <v>0</v>
      </c>
      <c r="M59">
        <f>IF(ISERROR(MATCH('DL 1'!A60,#REF!,0)),0,J59*2)</f>
        <v>0</v>
      </c>
      <c r="N59" t="e">
        <f>#REF!</f>
        <v>#REF!</v>
      </c>
      <c r="O59">
        <f>_xlfn.IFNA(VLOOKUP(RIGHT(VLOOKUP(TRIM('DL 1'!G60),Data!$A:$B,2,0),1),Data!$L$23:$M$30,2,0),0)</f>
        <v>0</v>
      </c>
      <c r="P59">
        <f t="shared" si="9"/>
        <v>0</v>
      </c>
      <c r="Q59" s="7" t="b">
        <f t="shared" si="1"/>
        <v>0</v>
      </c>
      <c r="R59" s="27">
        <f>INCENTIVE!$E$8</f>
        <v>130000000</v>
      </c>
      <c r="S59">
        <f>'DL 1'!D60</f>
        <v>0</v>
      </c>
      <c r="T59" t="str">
        <f t="shared" si="2"/>
        <v>1</v>
      </c>
      <c r="V59" t="str">
        <f t="shared" si="3"/>
        <v>1</v>
      </c>
      <c r="W59">
        <f t="shared" si="4"/>
        <v>0.25</v>
      </c>
      <c r="X59" s="7">
        <f>'DL 1'!E60</f>
        <v>0</v>
      </c>
      <c r="Y59" s="69">
        <f>'DL 1'!G60</f>
        <v>0</v>
      </c>
      <c r="AC59" t="str">
        <f>IFERROR(VLOOKUP(Y59,Data!$G$65:$L$69,2,0) *X59,"")</f>
        <v/>
      </c>
      <c r="AD59" s="7">
        <f t="shared" si="5"/>
        <v>0</v>
      </c>
      <c r="AE59">
        <f>'DL 1'!F60</f>
        <v>0</v>
      </c>
      <c r="AF59" t="str">
        <f>IFERROR(VLOOKUP(Y59,Data!$G$65:$K$79,4,0),"")</f>
        <v/>
      </c>
      <c r="AG59" s="51" t="e">
        <f>#REF!</f>
        <v>#REF!</v>
      </c>
      <c r="AK59">
        <f t="shared" si="6"/>
        <v>0</v>
      </c>
      <c r="AL59">
        <f t="shared" si="10"/>
        <v>0</v>
      </c>
      <c r="AM59" s="70">
        <f t="shared" si="7"/>
        <v>0</v>
      </c>
      <c r="AN59" s="7" t="b">
        <f t="shared" si="8"/>
        <v>0</v>
      </c>
    </row>
    <row r="60" spans="1:40" x14ac:dyDescent="0.3">
      <c r="A60" s="50">
        <f>IF(D60="A",_xlfn.IFNA(INDEX(Data!$H$24:$J$28,MATCH('DL 1'!E61,Data!$G$24:$G$28,1),MATCH('DL 1'!D61,Data!$H$23:$J$23,1)),0),0)</f>
        <v>0</v>
      </c>
      <c r="B60">
        <f>IF('DL 1'!F61="Y",Q60,0)</f>
        <v>0</v>
      </c>
      <c r="C60" t="e">
        <f>_xlfn.IFNA(INDEX(Data!$H$24:$J$28,MATCH(#REF!,Data!$G$24:$G$28,1),MATCH(#REF!,Data!$H$23:$J$23,1)),0)</f>
        <v>#REF!</v>
      </c>
      <c r="D60" t="str">
        <f>RIGHT(TRIM('DL 1'!G61),1)</f>
        <v/>
      </c>
      <c r="E60" s="8">
        <f>'DL 1'!E61*'DL 1'!D61</f>
        <v>0</v>
      </c>
      <c r="F60" t="str">
        <f>_xlfn.IFNA(VLOOKUP(TRIM('DL 1'!G61),Data!$A:$C,3,0),"")</f>
        <v/>
      </c>
      <c r="G60" s="7">
        <f>'DL 1'!E61</f>
        <v>0</v>
      </c>
      <c r="H60" s="21">
        <f>_xlfn.IFNA(VLOOKUP(TRIM('DL 1'!G61),Data!$A:$D,4,0),0)</f>
        <v>0</v>
      </c>
      <c r="I60">
        <f>_xlfn.IFNA(INDEX(Data!$G$5:$K$10,MATCH('DL 1'!D61,Data!$F$5:$F$10,1),MATCH(_xlfn.SINGLE(#REF!),Data!$G$4:$K$4,1)),0)</f>
        <v>0</v>
      </c>
      <c r="J60">
        <f>_xlfn.IFNA(IF(VLOOKUP(TRIM('DL 1'!G61),Data!$A:$C,3,0)="ST1",H60*I60*G60,IF(VLOOKUP(TRIM('DL 1'!G61),Data!$A:$C,3,0)="IR0",H60*G60,MIN(H60:I60)*G60)),0)</f>
        <v>0</v>
      </c>
      <c r="K60" t="e">
        <f>_xlfn.IFNA(VLOOKUP(TRIM(#REF!),Data!$A:$D,4,0)*#REF!,0)</f>
        <v>#REF!</v>
      </c>
      <c r="L60">
        <f>IF(TRIM('DL 1'!G61)="EDCLNHT0IRNLI",20000,0)</f>
        <v>0</v>
      </c>
      <c r="M60">
        <f>IF(ISERROR(MATCH('DL 1'!A61,#REF!,0)),0,J60*2)</f>
        <v>0</v>
      </c>
      <c r="N60" t="e">
        <f>#REF!</f>
        <v>#REF!</v>
      </c>
      <c r="O60">
        <f>_xlfn.IFNA(VLOOKUP(RIGHT(VLOOKUP(TRIM('DL 1'!G61),Data!$A:$B,2,0),1),Data!$L$23:$M$30,2,0),0)</f>
        <v>0</v>
      </c>
      <c r="P60">
        <f t="shared" si="9"/>
        <v>0</v>
      </c>
      <c r="Q60" s="7" t="b">
        <f t="shared" si="1"/>
        <v>0</v>
      </c>
      <c r="R60" s="27">
        <f>INCENTIVE!$E$8</f>
        <v>130000000</v>
      </c>
      <c r="S60">
        <f>'DL 1'!D61</f>
        <v>0</v>
      </c>
      <c r="T60" t="str">
        <f t="shared" si="2"/>
        <v>1</v>
      </c>
      <c r="V60" t="str">
        <f t="shared" si="3"/>
        <v>1</v>
      </c>
      <c r="W60">
        <f t="shared" si="4"/>
        <v>0.25</v>
      </c>
      <c r="X60" s="7">
        <f>'DL 1'!E61</f>
        <v>0</v>
      </c>
      <c r="Y60" s="69">
        <f>'DL 1'!G61</f>
        <v>0</v>
      </c>
      <c r="AC60" t="str">
        <f>IFERROR(VLOOKUP(Y60,Data!$G$65:$L$69,2,0) *X60,"")</f>
        <v/>
      </c>
      <c r="AD60" s="7">
        <f t="shared" si="5"/>
        <v>0</v>
      </c>
      <c r="AE60">
        <f>'DL 1'!F61</f>
        <v>0</v>
      </c>
      <c r="AF60" t="str">
        <f>IFERROR(VLOOKUP(Y60,Data!$G$65:$K$79,4,0),"")</f>
        <v/>
      </c>
      <c r="AG60" s="51" t="e">
        <f>#REF!</f>
        <v>#REF!</v>
      </c>
      <c r="AK60">
        <f t="shared" si="6"/>
        <v>0</v>
      </c>
      <c r="AL60">
        <f t="shared" si="10"/>
        <v>0</v>
      </c>
      <c r="AM60" s="70">
        <f t="shared" si="7"/>
        <v>0</v>
      </c>
      <c r="AN60" s="7" t="b">
        <f t="shared" si="8"/>
        <v>0</v>
      </c>
    </row>
    <row r="61" spans="1:40" x14ac:dyDescent="0.3">
      <c r="A61" s="50">
        <f>IF(D61="A",_xlfn.IFNA(INDEX(Data!$H$24:$J$28,MATCH('DL 1'!E62,Data!$G$24:$G$28,1),MATCH('DL 1'!D62,Data!$H$23:$J$23,1)),0),0)</f>
        <v>0</v>
      </c>
      <c r="B61">
        <f>IF('DL 1'!F62="Y",Q61,0)</f>
        <v>0</v>
      </c>
      <c r="C61" t="e">
        <f>_xlfn.IFNA(INDEX(Data!$H$24:$J$28,MATCH(#REF!,Data!$G$24:$G$28,1),MATCH(#REF!,Data!$H$23:$J$23,1)),0)</f>
        <v>#REF!</v>
      </c>
      <c r="D61" t="str">
        <f>RIGHT(TRIM('DL 1'!G62),1)</f>
        <v/>
      </c>
      <c r="E61" s="8">
        <f>'DL 1'!E62*'DL 1'!D62</f>
        <v>0</v>
      </c>
      <c r="F61" t="str">
        <f>_xlfn.IFNA(VLOOKUP(TRIM('DL 1'!G62),Data!$A:$C,3,0),"")</f>
        <v/>
      </c>
      <c r="G61" s="7">
        <f>'DL 1'!E62</f>
        <v>0</v>
      </c>
      <c r="H61" s="21">
        <f>_xlfn.IFNA(VLOOKUP(TRIM('DL 1'!G62),Data!$A:$D,4,0),0)</f>
        <v>0</v>
      </c>
      <c r="I61">
        <f>_xlfn.IFNA(INDEX(Data!$G$5:$K$10,MATCH('DL 1'!D62,Data!$F$5:$F$10,1),MATCH(_xlfn.SINGLE(#REF!),Data!$G$4:$K$4,1)),0)</f>
        <v>0</v>
      </c>
      <c r="J61">
        <f>_xlfn.IFNA(IF(VLOOKUP(TRIM('DL 1'!G62),Data!$A:$C,3,0)="ST1",H61*I61*G61,IF(VLOOKUP(TRIM('DL 1'!G62),Data!$A:$C,3,0)="IR0",H61*G61,MIN(H61:I61)*G61)),0)</f>
        <v>0</v>
      </c>
      <c r="K61" t="e">
        <f>_xlfn.IFNA(VLOOKUP(TRIM(#REF!),Data!$A:$D,4,0)*#REF!,0)</f>
        <v>#REF!</v>
      </c>
      <c r="L61">
        <f>IF(TRIM('DL 1'!G62)="EDCLNHT0IRNLI",20000,0)</f>
        <v>0</v>
      </c>
      <c r="M61">
        <f>IF(ISERROR(MATCH('DL 1'!A62,#REF!,0)),0,J61*2)</f>
        <v>0</v>
      </c>
      <c r="N61" t="e">
        <f>#REF!</f>
        <v>#REF!</v>
      </c>
      <c r="O61">
        <f>_xlfn.IFNA(VLOOKUP(RIGHT(VLOOKUP(TRIM('DL 1'!G62),Data!$A:$B,2,0),1),Data!$L$23:$M$30,2,0),0)</f>
        <v>0</v>
      </c>
      <c r="P61">
        <f t="shared" si="9"/>
        <v>0</v>
      </c>
      <c r="Q61" s="7" t="b">
        <f t="shared" si="1"/>
        <v>0</v>
      </c>
      <c r="R61" s="27">
        <f>INCENTIVE!$E$8</f>
        <v>130000000</v>
      </c>
      <c r="S61">
        <f>'DL 1'!D62</f>
        <v>0</v>
      </c>
      <c r="T61" t="str">
        <f t="shared" si="2"/>
        <v>1</v>
      </c>
      <c r="V61" t="str">
        <f t="shared" si="3"/>
        <v>1</v>
      </c>
      <c r="W61">
        <f t="shared" si="4"/>
        <v>0.25</v>
      </c>
      <c r="X61" s="7">
        <f>'DL 1'!E62</f>
        <v>0</v>
      </c>
      <c r="Y61" s="69">
        <f>'DL 1'!G62</f>
        <v>0</v>
      </c>
      <c r="AC61" t="str">
        <f>IFERROR(VLOOKUP(Y61,Data!$G$65:$L$69,2,0) *X61,"")</f>
        <v/>
      </c>
      <c r="AD61" s="7">
        <f t="shared" si="5"/>
        <v>0</v>
      </c>
      <c r="AE61">
        <f>'DL 1'!F62</f>
        <v>0</v>
      </c>
      <c r="AF61" t="str">
        <f>IFERROR(VLOOKUP(Y61,Data!$G$65:$K$79,4,0),"")</f>
        <v/>
      </c>
      <c r="AG61" s="51" t="e">
        <f>#REF!</f>
        <v>#REF!</v>
      </c>
      <c r="AK61">
        <f t="shared" si="6"/>
        <v>0</v>
      </c>
      <c r="AL61">
        <f t="shared" si="10"/>
        <v>0</v>
      </c>
      <c r="AM61" s="70">
        <f t="shared" si="7"/>
        <v>0</v>
      </c>
      <c r="AN61" s="7" t="b">
        <f t="shared" si="8"/>
        <v>0</v>
      </c>
    </row>
    <row r="62" spans="1:40" x14ac:dyDescent="0.3">
      <c r="A62" s="50">
        <f>IF(D62="A",_xlfn.IFNA(INDEX(Data!$H$24:$J$28,MATCH('DL 1'!E63,Data!$G$24:$G$28,1),MATCH('DL 1'!D63,Data!$H$23:$J$23,1)),0),0)</f>
        <v>0</v>
      </c>
      <c r="B62">
        <f>IF('DL 1'!F63="Y",Q62,0)</f>
        <v>0</v>
      </c>
      <c r="C62" t="e">
        <f>_xlfn.IFNA(INDEX(Data!$H$24:$J$28,MATCH(#REF!,Data!$G$24:$G$28,1),MATCH(#REF!,Data!$H$23:$J$23,1)),0)</f>
        <v>#REF!</v>
      </c>
      <c r="D62" t="str">
        <f>RIGHT(TRIM('DL 1'!G63),1)</f>
        <v/>
      </c>
      <c r="E62" s="8">
        <f>'DL 1'!E63*'DL 1'!D63</f>
        <v>0</v>
      </c>
      <c r="F62" t="str">
        <f>_xlfn.IFNA(VLOOKUP(TRIM('DL 1'!G63),Data!$A:$C,3,0),"")</f>
        <v/>
      </c>
      <c r="G62" s="7">
        <f>'DL 1'!E63</f>
        <v>0</v>
      </c>
      <c r="H62" s="21">
        <f>_xlfn.IFNA(VLOOKUP(TRIM('DL 1'!G63),Data!$A:$D,4,0),0)</f>
        <v>0</v>
      </c>
      <c r="I62">
        <f>_xlfn.IFNA(INDEX(Data!$G$5:$K$10,MATCH('DL 1'!D63,Data!$F$5:$F$10,1),MATCH(_xlfn.SINGLE(#REF!),Data!$G$4:$K$4,1)),0)</f>
        <v>0</v>
      </c>
      <c r="J62">
        <f>_xlfn.IFNA(IF(VLOOKUP(TRIM('DL 1'!G63),Data!$A:$C,3,0)="ST1",H62*I62*G62,IF(VLOOKUP(TRIM('DL 1'!G63),Data!$A:$C,3,0)="IR0",H62*G62,MIN(H62:I62)*G62)),0)</f>
        <v>0</v>
      </c>
      <c r="K62" t="e">
        <f>_xlfn.IFNA(VLOOKUP(TRIM(#REF!),Data!$A:$D,4,0)*#REF!,0)</f>
        <v>#REF!</v>
      </c>
      <c r="L62">
        <f>IF(TRIM('DL 1'!G63)="EDCLNHT0IRNLI",20000,0)</f>
        <v>0</v>
      </c>
      <c r="M62">
        <f>IF(ISERROR(MATCH('DL 1'!A63,#REF!,0)),0,J62*2)</f>
        <v>0</v>
      </c>
      <c r="N62" t="e">
        <f>#REF!</f>
        <v>#REF!</v>
      </c>
      <c r="O62">
        <f>_xlfn.IFNA(VLOOKUP(RIGHT(VLOOKUP(TRIM('DL 1'!G63),Data!$A:$B,2,0),1),Data!$L$23:$M$30,2,0),0)</f>
        <v>0</v>
      </c>
      <c r="P62">
        <f t="shared" si="9"/>
        <v>0</v>
      </c>
      <c r="Q62" s="7" t="b">
        <f t="shared" si="1"/>
        <v>0</v>
      </c>
      <c r="R62" s="27">
        <f>INCENTIVE!$E$8</f>
        <v>130000000</v>
      </c>
      <c r="S62">
        <f>'DL 1'!D63</f>
        <v>0</v>
      </c>
      <c r="T62" t="str">
        <f t="shared" si="2"/>
        <v>1</v>
      </c>
      <c r="V62" t="str">
        <f t="shared" si="3"/>
        <v>1</v>
      </c>
      <c r="W62">
        <f t="shared" si="4"/>
        <v>0.25</v>
      </c>
      <c r="X62" s="7">
        <f>'DL 1'!E63</f>
        <v>0</v>
      </c>
      <c r="Y62" s="69">
        <f>'DL 1'!G63</f>
        <v>0</v>
      </c>
      <c r="AC62" t="str">
        <f>IFERROR(VLOOKUP(Y62,Data!$G$65:$L$69,2,0) *X62,"")</f>
        <v/>
      </c>
      <c r="AD62" s="7">
        <f t="shared" si="5"/>
        <v>0</v>
      </c>
      <c r="AE62">
        <f>'DL 1'!F63</f>
        <v>0</v>
      </c>
      <c r="AF62" t="str">
        <f>IFERROR(VLOOKUP(Y62,Data!$G$65:$K$79,4,0),"")</f>
        <v/>
      </c>
      <c r="AG62" s="51" t="e">
        <f>#REF!</f>
        <v>#REF!</v>
      </c>
      <c r="AK62">
        <f t="shared" si="6"/>
        <v>0</v>
      </c>
      <c r="AL62">
        <f t="shared" si="10"/>
        <v>0</v>
      </c>
      <c r="AM62" s="70">
        <f t="shared" si="7"/>
        <v>0</v>
      </c>
      <c r="AN62" s="7" t="b">
        <f t="shared" si="8"/>
        <v>0</v>
      </c>
    </row>
    <row r="63" spans="1:40" x14ac:dyDescent="0.3">
      <c r="A63" s="50">
        <f>IF(D63="A",_xlfn.IFNA(INDEX(Data!$H$24:$J$28,MATCH('DL 1'!E64,Data!$G$24:$G$28,1),MATCH('DL 1'!D64,Data!$H$23:$J$23,1)),0),0)</f>
        <v>0</v>
      </c>
      <c r="B63">
        <f>IF('DL 1'!F64="Y",Q63,0)</f>
        <v>0</v>
      </c>
      <c r="C63" t="e">
        <f>_xlfn.IFNA(INDEX(Data!$H$24:$J$28,MATCH(#REF!,Data!$G$24:$G$28,1),MATCH(#REF!,Data!$H$23:$J$23,1)),0)</f>
        <v>#REF!</v>
      </c>
      <c r="D63" t="str">
        <f>RIGHT(TRIM('DL 1'!G64),1)</f>
        <v/>
      </c>
      <c r="E63" s="8">
        <f>'DL 1'!E64*'DL 1'!D64</f>
        <v>0</v>
      </c>
      <c r="F63" t="str">
        <f>_xlfn.IFNA(VLOOKUP(TRIM('DL 1'!G64),Data!$A:$C,3,0),"")</f>
        <v/>
      </c>
      <c r="G63" s="7">
        <f>'DL 1'!E64</f>
        <v>0</v>
      </c>
      <c r="H63" s="21">
        <f>_xlfn.IFNA(VLOOKUP(TRIM('DL 1'!G64),Data!$A:$D,4,0),0)</f>
        <v>0</v>
      </c>
      <c r="I63">
        <f>_xlfn.IFNA(INDEX(Data!$G$5:$K$10,MATCH('DL 1'!D64,Data!$F$5:$F$10,1),MATCH(_xlfn.SINGLE(#REF!),Data!$G$4:$K$4,1)),0)</f>
        <v>0</v>
      </c>
      <c r="J63">
        <f>_xlfn.IFNA(IF(VLOOKUP(TRIM('DL 1'!G64),Data!$A:$C,3,0)="ST1",H63*I63*G63,IF(VLOOKUP(TRIM('DL 1'!G64),Data!$A:$C,3,0)="IR0",H63*G63,MIN(H63:I63)*G63)),0)</f>
        <v>0</v>
      </c>
      <c r="K63" t="e">
        <f>_xlfn.IFNA(VLOOKUP(TRIM(#REF!),Data!$A:$D,4,0)*#REF!,0)</f>
        <v>#REF!</v>
      </c>
      <c r="L63">
        <f>IF(TRIM('DL 1'!G64)="EDCLNHT0IRNLI",20000,0)</f>
        <v>0</v>
      </c>
      <c r="M63">
        <f>IF(ISERROR(MATCH('DL 1'!A64,#REF!,0)),0,J63*2)</f>
        <v>0</v>
      </c>
      <c r="N63" t="e">
        <f>#REF!</f>
        <v>#REF!</v>
      </c>
      <c r="O63">
        <f>_xlfn.IFNA(VLOOKUP(RIGHT(VLOOKUP(TRIM('DL 1'!G64),Data!$A:$B,2,0),1),Data!$L$23:$M$30,2,0),0)</f>
        <v>0</v>
      </c>
      <c r="P63">
        <f t="shared" si="9"/>
        <v>0</v>
      </c>
      <c r="Q63" s="7" t="b">
        <f t="shared" si="1"/>
        <v>0</v>
      </c>
      <c r="R63" s="27">
        <f>INCENTIVE!$E$8</f>
        <v>130000000</v>
      </c>
      <c r="S63">
        <f>'DL 1'!D64</f>
        <v>0</v>
      </c>
      <c r="T63" t="str">
        <f t="shared" si="2"/>
        <v>1</v>
      </c>
      <c r="V63" t="str">
        <f t="shared" si="3"/>
        <v>1</v>
      </c>
      <c r="W63">
        <f t="shared" si="4"/>
        <v>0.25</v>
      </c>
      <c r="X63" s="7">
        <f>'DL 1'!E64</f>
        <v>0</v>
      </c>
      <c r="Y63" s="69">
        <f>'DL 1'!G64</f>
        <v>0</v>
      </c>
      <c r="AC63" t="str">
        <f>IFERROR(VLOOKUP(Y63,Data!$G$65:$L$69,2,0) *X63,"")</f>
        <v/>
      </c>
      <c r="AD63" s="7">
        <f t="shared" si="5"/>
        <v>0</v>
      </c>
      <c r="AE63">
        <f>'DL 1'!F64</f>
        <v>0</v>
      </c>
      <c r="AF63" t="str">
        <f>IFERROR(VLOOKUP(Y63,Data!$G$65:$K$79,4,0),"")</f>
        <v/>
      </c>
      <c r="AG63" s="51" t="e">
        <f>#REF!</f>
        <v>#REF!</v>
      </c>
      <c r="AK63">
        <f t="shared" si="6"/>
        <v>0</v>
      </c>
      <c r="AL63">
        <f t="shared" si="10"/>
        <v>0</v>
      </c>
      <c r="AM63" s="70">
        <f t="shared" si="7"/>
        <v>0</v>
      </c>
      <c r="AN63" s="7" t="b">
        <f t="shared" si="8"/>
        <v>0</v>
      </c>
    </row>
    <row r="64" spans="1:40" x14ac:dyDescent="0.3">
      <c r="A64" s="50">
        <f>IF(D64="A",_xlfn.IFNA(INDEX(Data!$H$24:$J$28,MATCH('DL 1'!E65,Data!$G$24:$G$28,1),MATCH('DL 1'!D65,Data!$H$23:$J$23,1)),0),0)</f>
        <v>0</v>
      </c>
      <c r="B64">
        <f>IF('DL 1'!F65="Y",Q64,0)</f>
        <v>0</v>
      </c>
      <c r="C64" t="e">
        <f>_xlfn.IFNA(INDEX(Data!$H$24:$J$28,MATCH(#REF!,Data!$G$24:$G$28,1),MATCH(#REF!,Data!$H$23:$J$23,1)),0)</f>
        <v>#REF!</v>
      </c>
      <c r="D64" t="str">
        <f>RIGHT(TRIM('DL 1'!G65),1)</f>
        <v/>
      </c>
      <c r="E64" s="8">
        <f>'DL 1'!E65*'DL 1'!D65</f>
        <v>0</v>
      </c>
      <c r="F64" t="str">
        <f>_xlfn.IFNA(VLOOKUP(TRIM('DL 1'!G65),Data!$A:$C,3,0),"")</f>
        <v/>
      </c>
      <c r="G64" s="7">
        <f>'DL 1'!E65</f>
        <v>0</v>
      </c>
      <c r="H64" s="21">
        <f>_xlfn.IFNA(VLOOKUP(TRIM('DL 1'!G65),Data!$A:$D,4,0),0)</f>
        <v>0</v>
      </c>
      <c r="I64">
        <f>_xlfn.IFNA(INDEX(Data!$G$5:$K$10,MATCH('DL 1'!D65,Data!$F$5:$F$10,1),MATCH(_xlfn.SINGLE(#REF!),Data!$G$4:$K$4,1)),0)</f>
        <v>0</v>
      </c>
      <c r="J64">
        <f>_xlfn.IFNA(IF(VLOOKUP(TRIM('DL 1'!G65),Data!$A:$C,3,0)="ST1",H64*I64*G64,IF(VLOOKUP(TRIM('DL 1'!G65),Data!$A:$C,3,0)="IR0",H64*G64,MIN(H64:I64)*G64)),0)</f>
        <v>0</v>
      </c>
      <c r="K64" t="e">
        <f>_xlfn.IFNA(VLOOKUP(TRIM(#REF!),Data!$A:$D,4,0)*#REF!,0)</f>
        <v>#REF!</v>
      </c>
      <c r="L64">
        <f>IF(TRIM('DL 1'!G65)="EDCLNHT0IRNLI",20000,0)</f>
        <v>0</v>
      </c>
      <c r="M64">
        <f>IF(ISERROR(MATCH('DL 1'!A65,#REF!,0)),0,J64*2)</f>
        <v>0</v>
      </c>
      <c r="N64" t="e">
        <f>#REF!</f>
        <v>#REF!</v>
      </c>
      <c r="O64">
        <f>_xlfn.IFNA(VLOOKUP(RIGHT(VLOOKUP(TRIM('DL 1'!G65),Data!$A:$B,2,0),1),Data!$L$23:$M$30,2,0),0)</f>
        <v>0</v>
      </c>
      <c r="P64">
        <f t="shared" si="9"/>
        <v>0</v>
      </c>
      <c r="Q64" s="7" t="b">
        <f t="shared" si="1"/>
        <v>0</v>
      </c>
      <c r="R64" s="27">
        <f>INCENTIVE!$E$8</f>
        <v>130000000</v>
      </c>
      <c r="S64">
        <f>'DL 1'!D65</f>
        <v>0</v>
      </c>
      <c r="T64" t="str">
        <f t="shared" si="2"/>
        <v>1</v>
      </c>
      <c r="V64" t="str">
        <f t="shared" si="3"/>
        <v>1</v>
      </c>
      <c r="W64">
        <f t="shared" si="4"/>
        <v>0.25</v>
      </c>
      <c r="X64" s="7">
        <f>'DL 1'!E65</f>
        <v>0</v>
      </c>
      <c r="Y64" s="69">
        <f>'DL 1'!G65</f>
        <v>0</v>
      </c>
      <c r="AC64" t="str">
        <f>IFERROR(VLOOKUP(Y64,Data!$G$65:$L$69,2,0) *X64,"")</f>
        <v/>
      </c>
      <c r="AD64" s="7">
        <f t="shared" si="5"/>
        <v>0</v>
      </c>
      <c r="AE64">
        <f>'DL 1'!F65</f>
        <v>0</v>
      </c>
      <c r="AF64" t="str">
        <f>IFERROR(VLOOKUP(Y64,Data!$G$65:$K$79,4,0),"")</f>
        <v/>
      </c>
      <c r="AG64" s="51" t="e">
        <f>#REF!</f>
        <v>#REF!</v>
      </c>
      <c r="AK64">
        <f t="shared" si="6"/>
        <v>0</v>
      </c>
      <c r="AL64">
        <f t="shared" si="10"/>
        <v>0</v>
      </c>
      <c r="AM64" s="70">
        <f t="shared" si="7"/>
        <v>0</v>
      </c>
      <c r="AN64" s="7" t="b">
        <f t="shared" si="8"/>
        <v>0</v>
      </c>
    </row>
    <row r="65" spans="1:40" x14ac:dyDescent="0.3">
      <c r="A65" s="50">
        <f>IF(D65="A",_xlfn.IFNA(INDEX(Data!$H$24:$J$28,MATCH('DL 1'!E66,Data!$G$24:$G$28,1),MATCH('DL 1'!D66,Data!$H$23:$J$23,1)),0),0)</f>
        <v>0</v>
      </c>
      <c r="B65">
        <f>IF('DL 1'!F66="Y",Q65,0)</f>
        <v>0</v>
      </c>
      <c r="C65" t="e">
        <f>_xlfn.IFNA(INDEX(Data!$H$24:$J$28,MATCH(#REF!,Data!$G$24:$G$28,1),MATCH(#REF!,Data!$H$23:$J$23,1)),0)</f>
        <v>#REF!</v>
      </c>
      <c r="D65" t="str">
        <f>RIGHT(TRIM('DL 1'!G66),1)</f>
        <v/>
      </c>
      <c r="E65" s="8">
        <f>'DL 1'!E66*'DL 1'!D66</f>
        <v>0</v>
      </c>
      <c r="F65" t="str">
        <f>_xlfn.IFNA(VLOOKUP(TRIM('DL 1'!G66),Data!$A:$C,3,0),"")</f>
        <v/>
      </c>
      <c r="G65" s="7">
        <f>'DL 1'!E66</f>
        <v>0</v>
      </c>
      <c r="H65" s="21">
        <f>_xlfn.IFNA(VLOOKUP(TRIM('DL 1'!G66),Data!$A:$D,4,0),0)</f>
        <v>0</v>
      </c>
      <c r="I65">
        <f>_xlfn.IFNA(INDEX(Data!$G$5:$K$10,MATCH('DL 1'!D66,Data!$F$5:$F$10,1),MATCH(_xlfn.SINGLE(#REF!),Data!$G$4:$K$4,1)),0)</f>
        <v>0</v>
      </c>
      <c r="J65">
        <f>_xlfn.IFNA(IF(VLOOKUP(TRIM('DL 1'!G66),Data!$A:$C,3,0)="ST1",H65*I65*G65,IF(VLOOKUP(TRIM('DL 1'!G66),Data!$A:$C,3,0)="IR0",H65*G65,MIN(H65:I65)*G65)),0)</f>
        <v>0</v>
      </c>
      <c r="K65" t="e">
        <f>_xlfn.IFNA(VLOOKUP(TRIM(#REF!),Data!$A:$D,4,0)*#REF!,0)</f>
        <v>#REF!</v>
      </c>
      <c r="L65">
        <f>IF(TRIM('DL 1'!G66)="EDCLNHT0IRNLI",20000,0)</f>
        <v>0</v>
      </c>
      <c r="M65">
        <f>IF(ISERROR(MATCH('DL 1'!A66,#REF!,0)),0,J65*2)</f>
        <v>0</v>
      </c>
      <c r="N65" t="e">
        <f>#REF!</f>
        <v>#REF!</v>
      </c>
      <c r="O65">
        <f>_xlfn.IFNA(VLOOKUP(RIGHT(VLOOKUP(TRIM('DL 1'!G66),Data!$A:$B,2,0),1),Data!$L$23:$M$30,2,0),0)</f>
        <v>0</v>
      </c>
      <c r="P65">
        <f t="shared" si="9"/>
        <v>0</v>
      </c>
      <c r="Q65" s="7" t="b">
        <f t="shared" si="1"/>
        <v>0</v>
      </c>
      <c r="R65" s="27">
        <f>INCENTIVE!$E$8</f>
        <v>130000000</v>
      </c>
      <c r="S65">
        <f>'DL 1'!D66</f>
        <v>0</v>
      </c>
      <c r="T65" t="str">
        <f t="shared" si="2"/>
        <v>1</v>
      </c>
      <c r="V65" t="str">
        <f t="shared" si="3"/>
        <v>1</v>
      </c>
      <c r="W65">
        <f t="shared" si="4"/>
        <v>0.25</v>
      </c>
      <c r="X65" s="7">
        <f>'DL 1'!E66</f>
        <v>0</v>
      </c>
      <c r="Y65" s="69">
        <f>'DL 1'!G66</f>
        <v>0</v>
      </c>
      <c r="AC65" t="str">
        <f>IFERROR(VLOOKUP(Y65,Data!$G$65:$L$69,2,0) *X65,"")</f>
        <v/>
      </c>
      <c r="AD65" s="7">
        <f t="shared" si="5"/>
        <v>0</v>
      </c>
      <c r="AE65">
        <f>'DL 1'!F66</f>
        <v>0</v>
      </c>
      <c r="AF65" t="str">
        <f>IFERROR(VLOOKUP(Y65,Data!$G$65:$K$79,4,0),"")</f>
        <v/>
      </c>
      <c r="AG65" s="51" t="e">
        <f>#REF!</f>
        <v>#REF!</v>
      </c>
      <c r="AK65">
        <f t="shared" si="6"/>
        <v>0</v>
      </c>
      <c r="AL65">
        <f t="shared" si="10"/>
        <v>0</v>
      </c>
      <c r="AM65" s="70">
        <f t="shared" si="7"/>
        <v>0</v>
      </c>
      <c r="AN65" s="7" t="b">
        <f t="shared" si="8"/>
        <v>0</v>
      </c>
    </row>
    <row r="66" spans="1:40" x14ac:dyDescent="0.3">
      <c r="A66" s="50">
        <f>IF(D66="A",_xlfn.IFNA(INDEX(Data!$H$24:$J$28,MATCH('DL 1'!E67,Data!$G$24:$G$28,1),MATCH('DL 1'!D67,Data!$H$23:$J$23,1)),0),0)</f>
        <v>0</v>
      </c>
      <c r="B66">
        <f>IF('DL 1'!F67="Y",Q66,0)</f>
        <v>0</v>
      </c>
      <c r="C66" t="e">
        <f>_xlfn.IFNA(INDEX(Data!$H$24:$J$28,MATCH(#REF!,Data!$G$24:$G$28,1),MATCH(#REF!,Data!$H$23:$J$23,1)),0)</f>
        <v>#REF!</v>
      </c>
      <c r="D66" t="str">
        <f>RIGHT(TRIM('DL 1'!G67),1)</f>
        <v/>
      </c>
      <c r="E66" s="8">
        <f>'DL 1'!E67*'DL 1'!D67</f>
        <v>0</v>
      </c>
      <c r="F66" t="str">
        <f>_xlfn.IFNA(VLOOKUP(TRIM('DL 1'!G67),Data!$A:$C,3,0),"")</f>
        <v/>
      </c>
      <c r="G66" s="7">
        <f>'DL 1'!E67</f>
        <v>0</v>
      </c>
      <c r="H66" s="21">
        <f>_xlfn.IFNA(VLOOKUP(TRIM('DL 1'!G67),Data!$A:$D,4,0),0)</f>
        <v>0</v>
      </c>
      <c r="I66">
        <f>_xlfn.IFNA(INDEX(Data!$G$5:$K$10,MATCH('DL 1'!D67,Data!$F$5:$F$10,1),MATCH(_xlfn.SINGLE(#REF!),Data!$G$4:$K$4,1)),0)</f>
        <v>0</v>
      </c>
      <c r="J66">
        <f>_xlfn.IFNA(IF(VLOOKUP(TRIM('DL 1'!G67),Data!$A:$C,3,0)="ST1",H66*I66*G66,IF(VLOOKUP(TRIM('DL 1'!G67),Data!$A:$C,3,0)="IR0",H66*G66,MIN(H66:I66)*G66)),0)</f>
        <v>0</v>
      </c>
      <c r="K66" t="e">
        <f>_xlfn.IFNA(VLOOKUP(TRIM(#REF!),Data!$A:$D,4,0)*#REF!,0)</f>
        <v>#REF!</v>
      </c>
      <c r="L66">
        <f>IF(TRIM('DL 1'!G67)="EDCLNHT0IRNLI",20000,0)</f>
        <v>0</v>
      </c>
      <c r="M66">
        <f>IF(ISERROR(MATCH('DL 1'!A67,#REF!,0)),0,J66*2)</f>
        <v>0</v>
      </c>
      <c r="N66" t="e">
        <f>#REF!</f>
        <v>#REF!</v>
      </c>
      <c r="O66">
        <f>_xlfn.IFNA(VLOOKUP(RIGHT(VLOOKUP(TRIM('DL 1'!G67),Data!$A:$B,2,0),1),Data!$L$23:$M$30,2,0),0)</f>
        <v>0</v>
      </c>
      <c r="P66">
        <f t="shared" si="9"/>
        <v>0</v>
      </c>
      <c r="Q66" s="7" t="b">
        <f t="shared" si="1"/>
        <v>0</v>
      </c>
      <c r="R66" s="27">
        <f>INCENTIVE!$E$8</f>
        <v>130000000</v>
      </c>
      <c r="S66">
        <f>'DL 1'!D67</f>
        <v>0</v>
      </c>
      <c r="T66" t="str">
        <f t="shared" si="2"/>
        <v>1</v>
      </c>
      <c r="V66" t="str">
        <f t="shared" si="3"/>
        <v>1</v>
      </c>
      <c r="W66">
        <f t="shared" si="4"/>
        <v>0.25</v>
      </c>
      <c r="X66" s="7">
        <f>'DL 1'!E67</f>
        <v>0</v>
      </c>
      <c r="Y66" s="69">
        <f>'DL 1'!G67</f>
        <v>0</v>
      </c>
      <c r="AC66" t="str">
        <f>IFERROR(VLOOKUP(Y66,Data!$G$65:$L$69,2,0) *X66,"")</f>
        <v/>
      </c>
      <c r="AD66" s="7">
        <f t="shared" si="5"/>
        <v>0</v>
      </c>
      <c r="AE66">
        <f>'DL 1'!F67</f>
        <v>0</v>
      </c>
      <c r="AF66" t="str">
        <f>IFERROR(VLOOKUP(Y66,Data!$G$65:$K$79,4,0),"")</f>
        <v/>
      </c>
      <c r="AG66" s="51" t="e">
        <f>#REF!</f>
        <v>#REF!</v>
      </c>
      <c r="AK66">
        <f t="shared" si="6"/>
        <v>0</v>
      </c>
      <c r="AL66">
        <f t="shared" si="10"/>
        <v>0</v>
      </c>
      <c r="AM66" s="70">
        <f t="shared" si="7"/>
        <v>0</v>
      </c>
      <c r="AN66" s="7" t="b">
        <f t="shared" si="8"/>
        <v>0</v>
      </c>
    </row>
    <row r="67" spans="1:40" x14ac:dyDescent="0.3">
      <c r="A67" s="50">
        <f>IF(D67="A",_xlfn.IFNA(INDEX(Data!$H$24:$J$28,MATCH('DL 1'!E68,Data!$G$24:$G$28,1),MATCH('DL 1'!D68,Data!$H$23:$J$23,1)),0),0)</f>
        <v>0</v>
      </c>
      <c r="B67">
        <f>IF('DL 1'!F68="Y",Q67,0)</f>
        <v>0</v>
      </c>
      <c r="C67" t="e">
        <f>_xlfn.IFNA(INDEX(Data!$H$24:$J$28,MATCH(#REF!,Data!$G$24:$G$28,1),MATCH(#REF!,Data!$H$23:$J$23,1)),0)</f>
        <v>#REF!</v>
      </c>
      <c r="D67" t="str">
        <f>RIGHT(TRIM('DL 1'!G68),1)</f>
        <v/>
      </c>
      <c r="E67" s="8">
        <f>'DL 1'!E68*'DL 1'!D68</f>
        <v>0</v>
      </c>
      <c r="F67" t="str">
        <f>_xlfn.IFNA(VLOOKUP(TRIM('DL 1'!G68),Data!$A:$C,3,0),"")</f>
        <v/>
      </c>
      <c r="G67" s="7">
        <f>'DL 1'!E68</f>
        <v>0</v>
      </c>
      <c r="H67" s="21">
        <f>_xlfn.IFNA(VLOOKUP(TRIM('DL 1'!G68),Data!$A:$D,4,0),0)</f>
        <v>0</v>
      </c>
      <c r="I67">
        <f>_xlfn.IFNA(INDEX(Data!$G$5:$K$10,MATCH('DL 1'!D68,Data!$F$5:$F$10,1),MATCH(_xlfn.SINGLE(#REF!),Data!$G$4:$K$4,1)),0)</f>
        <v>0</v>
      </c>
      <c r="J67">
        <f>_xlfn.IFNA(IF(VLOOKUP(TRIM('DL 1'!G68),Data!$A:$C,3,0)="ST1",H67*I67*G67,IF(VLOOKUP(TRIM('DL 1'!G68),Data!$A:$C,3,0)="IR0",H67*G67,MIN(H67:I67)*G67)),0)</f>
        <v>0</v>
      </c>
      <c r="K67" t="e">
        <f>_xlfn.IFNA(VLOOKUP(TRIM(#REF!),Data!$A:$D,4,0)*#REF!,0)</f>
        <v>#REF!</v>
      </c>
      <c r="L67">
        <f>IF(TRIM('DL 1'!G68)="EDCLNHT0IRNLI",20000,0)</f>
        <v>0</v>
      </c>
      <c r="M67">
        <f>IF(ISERROR(MATCH('DL 1'!A68,#REF!,0)),0,J67*2)</f>
        <v>0</v>
      </c>
      <c r="N67" t="e">
        <f>#REF!</f>
        <v>#REF!</v>
      </c>
      <c r="O67">
        <f>_xlfn.IFNA(VLOOKUP(RIGHT(VLOOKUP(TRIM('DL 1'!G68),Data!$A:$B,2,0),1),Data!$L$23:$M$30,2,0),0)</f>
        <v>0</v>
      </c>
      <c r="P67">
        <f t="shared" si="9"/>
        <v>0</v>
      </c>
      <c r="Q67" s="7" t="b">
        <f t="shared" ref="Q67:Q130" si="11">IF(AND(P67=1,S67&lt;15),10000,IF(AND(P67=1,S67&gt;=15,S67&lt;18),15000,IF(AND(P67=1,S67&gt;=18),20000,(IF(AND(P67=2,S67&lt;15),18000,IF(AND(P67=2,S67&gt;=15,S67&lt;18),23000,IF(AND(P67=2,S67&gt;=18),28000,IF(AND(P67=3,S67&lt;15),26000,IF(AND(P67=3,S67&gt;=15,S67&lt;18),31000,IF(AND(P67=3,S67&gt;=18),36000,IF(AND(P67=4,S67&lt;15),34000,IF(AND(P67=4,S67&gt;=15,S67&lt;18),39000,IF(AND(P67=4,S67&gt;=18),44000)))))))))))))</f>
        <v>0</v>
      </c>
      <c r="R67" s="27">
        <f>INCENTIVE!$E$8</f>
        <v>130000000</v>
      </c>
      <c r="S67">
        <f>'DL 1'!D68</f>
        <v>0</v>
      </c>
      <c r="T67" t="str">
        <f t="shared" ref="T67:T130" si="12">(IF(S67&gt;=24,"5",IF(S67&gt;=18,"4",IF(S67&gt;=15,"3",IF(S67&gt;=12,"2","1")))))</f>
        <v>1</v>
      </c>
      <c r="V67" t="str">
        <f t="shared" ref="V67:V130" si="13">(IF(S67&gt;=12,"6",IF(S67&gt;=9,"5",IF(S67&gt;=8,"4",IF(S67&gt;=7,"3",IF(S67=6,"2","1"))))))</f>
        <v>1</v>
      </c>
      <c r="W67">
        <f t="shared" ref="W67:W130" si="14">IF(AND(V67="6",R67&gt;=7.7),115%,IF(AND(V67="6",R67&gt;=7.5),105%,IF(AND(V67="6",R67&gt;=7.3),100%,IF(AND(V67="6",R67&gt;=7),100%,IF(AND(V67="6",R67&lt;7),100%,IF(AND(V67="5",R67&gt;=7.7),110%,IF(AND(V67="5",R67&gt;=7.5),100%,IF(AND(V67="5",R67&gt;=7.3),100%,IF(AND(V67="5",R67&gt;=7),100%,IF(AND(V67="5",R67&lt;7),100%,IF(AND(V67="4",R67&gt;=7.7),105%,IF(AND(V67="4",R67&gt;=7.5),100%,IF(AND(V67="4",R67&gt;=7.3),95%,IF(AND(V67="4",R67&gt;=7),90%,IF(AND(V67="4",R67&lt;7),80%,IF(AND(V67="3",R67&gt;=7.7),100%,IF(AND(V67="3",R67&gt;=7.5),90%,IF(AND(V67="3",R67&gt;=7.3),80%,IF(AND(V67="3",R67&gt;=7),70%,IF(AND(V67="3",R67&lt;7),60%,IF(AND(V67="2",R67&gt;=7.7),60%,IF(AND(V67="2",R67&gt;=7.5),50%,IF(AND(V67="2",R67&gt;=7.3),35%,IF(AND(V67="2",R67&gt;=7),35%,IF(AND(V67="2",R67&lt;7),25%,25%)))))))))))))))))))))))))</f>
        <v>0.25</v>
      </c>
      <c r="X67" s="7">
        <f>'DL 1'!E68</f>
        <v>0</v>
      </c>
      <c r="Y67" s="69">
        <f>'DL 1'!G68</f>
        <v>0</v>
      </c>
      <c r="AC67" t="str">
        <f>IFERROR(VLOOKUP(Y67,Data!$G$65:$L$69,2,0) *X67,"")</f>
        <v/>
      </c>
      <c r="AD67" s="7">
        <f t="shared" ref="AD67:AD130" si="15">SUM(AC67)</f>
        <v>0</v>
      </c>
      <c r="AE67">
        <f>'DL 1'!F68</f>
        <v>0</v>
      </c>
      <c r="AF67" t="str">
        <f>IFERROR(VLOOKUP(Y67,Data!$G$65:$K$79,4,0),"")</f>
        <v/>
      </c>
      <c r="AG67" s="51" t="e">
        <f>#REF!</f>
        <v>#REF!</v>
      </c>
      <c r="AK67">
        <f t="shared" ref="AK67:AK130" si="16">IF(G67&lt;1,0,IF(G67&lt;12000000,1,IF(AND(G67&gt;=12000000,G67&lt;25000000),2,IF(AND(G67&gt;=25000000,G67&lt;50000000),3,IF(AND(G67&gt;=50000000),4,)))))</f>
        <v>0</v>
      </c>
      <c r="AL67">
        <f t="shared" ref="AL67:AL130" si="17">IF(AND(S67&lt;12,Y67="A"),0.9,IF(AND(S67&lt;12,Y67="B"),0.7,IF(AND(S67&lt;12,Y67="C"),0,IF(AND(S67&lt;12,Y67="D"),0,IF(AND(S67&gt;=12,S67&lt;15,Y67="A"),1.2,IF(AND(S67&gt;=12,S67&lt;15,Y67="B"),1,IF(AND(S67&gt;=12,S67&lt;15,Y67="C"),0.1,IF(AND(S67&gt;=12,S67&lt;15,Y67="D"),0,IF(AND(S67&gt;=15,S67&lt;18,Y67="A"),1.3,IF(AND(S67&gt;=15,S67&lt;18,Y67="B"),1.1,IF(AND(S67&gt;=15,S67&lt;18,Y67="C"),0.3,IF(AND(S67&gt;=15,S67&lt;18,Y67="D"),0,IF(AND(S67&gt;=18,S67&lt;24,Y67="A"),1.5,IF(AND(S67&gt;=18,S67&lt;24,Y67="B"),1.3,IF(AND(S67&gt;=18,S67&lt;24,Y67="C"),0.4,IF(AND(S67&gt;=18,S67&lt;24,Y67="D"),0,IF(AND(S67&gt;=24,Y67="A"),1.6,IF(AND(S67&gt;=24,Y67="B"),1.4,IF(AND(S67&gt;=24,Y67="C"),0.5,IF(AND(S67&gt;=24,Y67="D"),0,))))))))))))))))))))</f>
        <v>0</v>
      </c>
      <c r="AM67" s="70">
        <f t="shared" ref="AM67:AM130" si="18">X67*(AL67/100)</f>
        <v>0</v>
      </c>
      <c r="AN67" s="7" t="b">
        <f t="shared" ref="AN67:AN130" si="19">Q67</f>
        <v>0</v>
      </c>
    </row>
    <row r="68" spans="1:40" x14ac:dyDescent="0.3">
      <c r="A68" s="50">
        <f>IF(D68="A",_xlfn.IFNA(INDEX(Data!$H$24:$J$28,MATCH('DL 1'!E69,Data!$G$24:$G$28,1),MATCH('DL 1'!D69,Data!$H$23:$J$23,1)),0),0)</f>
        <v>0</v>
      </c>
      <c r="B68">
        <f>IF('DL 1'!F69="Y",Q68,0)</f>
        <v>0</v>
      </c>
      <c r="C68" t="e">
        <f>_xlfn.IFNA(INDEX(Data!$H$24:$J$28,MATCH(#REF!,Data!$G$24:$G$28,1),MATCH(#REF!,Data!$H$23:$J$23,1)),0)</f>
        <v>#REF!</v>
      </c>
      <c r="D68" t="str">
        <f>RIGHT(TRIM('DL 1'!G69),1)</f>
        <v/>
      </c>
      <c r="E68" s="8">
        <f>'DL 1'!E69*'DL 1'!D69</f>
        <v>0</v>
      </c>
      <c r="F68" t="str">
        <f>_xlfn.IFNA(VLOOKUP(TRIM('DL 1'!G69),Data!$A:$C,3,0),"")</f>
        <v/>
      </c>
      <c r="G68" s="7">
        <f>'DL 1'!E69</f>
        <v>0</v>
      </c>
      <c r="H68" s="21">
        <f>_xlfn.IFNA(VLOOKUP(TRIM('DL 1'!G69),Data!$A:$D,4,0),0)</f>
        <v>0</v>
      </c>
      <c r="I68">
        <f>_xlfn.IFNA(INDEX(Data!$G$5:$K$10,MATCH('DL 1'!D69,Data!$F$5:$F$10,1),MATCH(_xlfn.SINGLE(#REF!),Data!$G$4:$K$4,1)),0)</f>
        <v>0</v>
      </c>
      <c r="J68">
        <f>_xlfn.IFNA(IF(VLOOKUP(TRIM('DL 1'!G69),Data!$A:$C,3,0)="ST1",H68*I68*G68,IF(VLOOKUP(TRIM('DL 1'!G69),Data!$A:$C,3,0)="IR0",H68*G68,MIN(H68:I68)*G68)),0)</f>
        <v>0</v>
      </c>
      <c r="K68" t="e">
        <f>_xlfn.IFNA(VLOOKUP(TRIM(#REF!),Data!$A:$D,4,0)*#REF!,0)</f>
        <v>#REF!</v>
      </c>
      <c r="L68">
        <f>IF(TRIM('DL 1'!G69)="EDCLNHT0IRNLI",20000,0)</f>
        <v>0</v>
      </c>
      <c r="M68">
        <f>IF(ISERROR(MATCH('DL 1'!A69,#REF!,0)),0,J68*2)</f>
        <v>0</v>
      </c>
      <c r="N68" t="e">
        <f>#REF!</f>
        <v>#REF!</v>
      </c>
      <c r="O68">
        <f>_xlfn.IFNA(VLOOKUP(RIGHT(VLOOKUP(TRIM('DL 1'!G69),Data!$A:$B,2,0),1),Data!$L$23:$M$30,2,0),0)</f>
        <v>0</v>
      </c>
      <c r="P68">
        <f t="shared" ref="P68:P131" si="20">IF(G68&lt;1,0,IF(G68&lt;12000000,1,IF(AND(G68&gt;=12000000,G68&lt;25000000),2,IF(AND(G68&gt;=25000000,G68&lt;50000000),3,IF(AND(G68&gt;=50000000),4,)))))</f>
        <v>0</v>
      </c>
      <c r="Q68" s="7" t="b">
        <f t="shared" si="11"/>
        <v>0</v>
      </c>
      <c r="R68" s="27">
        <f>INCENTIVE!$E$8</f>
        <v>130000000</v>
      </c>
      <c r="S68">
        <f>'DL 1'!D69</f>
        <v>0</v>
      </c>
      <c r="T68" t="str">
        <f t="shared" si="12"/>
        <v>1</v>
      </c>
      <c r="V68" t="str">
        <f t="shared" si="13"/>
        <v>1</v>
      </c>
      <c r="W68">
        <f t="shared" si="14"/>
        <v>0.25</v>
      </c>
      <c r="X68" s="7">
        <f>'DL 1'!E69</f>
        <v>0</v>
      </c>
      <c r="Y68" s="69">
        <f>'DL 1'!G69</f>
        <v>0</v>
      </c>
      <c r="AC68" t="str">
        <f>IFERROR(VLOOKUP(Y68,Data!$G$65:$L$69,2,0) *X68,"")</f>
        <v/>
      </c>
      <c r="AD68" s="7">
        <f t="shared" si="15"/>
        <v>0</v>
      </c>
      <c r="AE68">
        <f>'DL 1'!F69</f>
        <v>0</v>
      </c>
      <c r="AF68" t="str">
        <f>IFERROR(VLOOKUP(Y68,Data!$G$65:$K$79,4,0),"")</f>
        <v/>
      </c>
      <c r="AG68" s="51" t="e">
        <f>#REF!</f>
        <v>#REF!</v>
      </c>
      <c r="AK68">
        <f t="shared" si="16"/>
        <v>0</v>
      </c>
      <c r="AL68">
        <f t="shared" si="17"/>
        <v>0</v>
      </c>
      <c r="AM68" s="70">
        <f t="shared" si="18"/>
        <v>0</v>
      </c>
      <c r="AN68" s="7" t="b">
        <f t="shared" si="19"/>
        <v>0</v>
      </c>
    </row>
    <row r="69" spans="1:40" x14ac:dyDescent="0.3">
      <c r="A69" s="50">
        <f>IF(D69="A",_xlfn.IFNA(INDEX(Data!$H$24:$J$28,MATCH('DL 1'!E70,Data!$G$24:$G$28,1),MATCH('DL 1'!D70,Data!$H$23:$J$23,1)),0),0)</f>
        <v>0</v>
      </c>
      <c r="B69">
        <f>IF('DL 1'!F70="Y",Q69,0)</f>
        <v>0</v>
      </c>
      <c r="C69" t="e">
        <f>_xlfn.IFNA(INDEX(Data!$H$24:$J$28,MATCH(#REF!,Data!$G$24:$G$28,1),MATCH(#REF!,Data!$H$23:$J$23,1)),0)</f>
        <v>#REF!</v>
      </c>
      <c r="D69" t="str">
        <f>RIGHT(TRIM('DL 1'!G70),1)</f>
        <v/>
      </c>
      <c r="E69" s="8">
        <f>'DL 1'!E70*'DL 1'!D70</f>
        <v>0</v>
      </c>
      <c r="F69" t="str">
        <f>_xlfn.IFNA(VLOOKUP(TRIM('DL 1'!G70),Data!$A:$C,3,0),"")</f>
        <v/>
      </c>
      <c r="G69" s="7">
        <f>'DL 1'!E70</f>
        <v>0</v>
      </c>
      <c r="H69" s="21">
        <f>_xlfn.IFNA(VLOOKUP(TRIM('DL 1'!G70),Data!$A:$D,4,0),0)</f>
        <v>0</v>
      </c>
      <c r="I69">
        <f>_xlfn.IFNA(INDEX(Data!$G$5:$K$10,MATCH('DL 1'!D70,Data!$F$5:$F$10,1),MATCH(_xlfn.SINGLE(#REF!),Data!$G$4:$K$4,1)),0)</f>
        <v>0</v>
      </c>
      <c r="J69">
        <f>_xlfn.IFNA(IF(VLOOKUP(TRIM('DL 1'!G70),Data!$A:$C,3,0)="ST1",H69*I69*G69,IF(VLOOKUP(TRIM('DL 1'!G70),Data!$A:$C,3,0)="IR0",H69*G69,MIN(H69:I69)*G69)),0)</f>
        <v>0</v>
      </c>
      <c r="K69" t="e">
        <f>_xlfn.IFNA(VLOOKUP(TRIM(#REF!),Data!$A:$D,4,0)*#REF!,0)</f>
        <v>#REF!</v>
      </c>
      <c r="L69">
        <f>IF(TRIM('DL 1'!G70)="EDCLNHT0IRNLI",20000,0)</f>
        <v>0</v>
      </c>
      <c r="M69">
        <f>IF(ISERROR(MATCH('DL 1'!A70,#REF!,0)),0,J69*2)</f>
        <v>0</v>
      </c>
      <c r="N69" t="e">
        <f>#REF!</f>
        <v>#REF!</v>
      </c>
      <c r="O69">
        <f>_xlfn.IFNA(VLOOKUP(RIGHT(VLOOKUP(TRIM('DL 1'!G70),Data!$A:$B,2,0),1),Data!$L$23:$M$30,2,0),0)</f>
        <v>0</v>
      </c>
      <c r="P69">
        <f t="shared" si="20"/>
        <v>0</v>
      </c>
      <c r="Q69" s="7" t="b">
        <f t="shared" si="11"/>
        <v>0</v>
      </c>
      <c r="R69" s="27">
        <f>INCENTIVE!$E$8</f>
        <v>130000000</v>
      </c>
      <c r="S69">
        <f>'DL 1'!D70</f>
        <v>0</v>
      </c>
      <c r="T69" t="str">
        <f t="shared" si="12"/>
        <v>1</v>
      </c>
      <c r="V69" t="str">
        <f t="shared" si="13"/>
        <v>1</v>
      </c>
      <c r="W69">
        <f t="shared" si="14"/>
        <v>0.25</v>
      </c>
      <c r="X69" s="7">
        <f>'DL 1'!E70</f>
        <v>0</v>
      </c>
      <c r="Y69" s="69">
        <f>'DL 1'!G70</f>
        <v>0</v>
      </c>
      <c r="AC69" t="str">
        <f>IFERROR(VLOOKUP(Y69,Data!$G$65:$L$69,2,0) *X69,"")</f>
        <v/>
      </c>
      <c r="AD69" s="7">
        <f t="shared" si="15"/>
        <v>0</v>
      </c>
      <c r="AE69">
        <f>'DL 1'!F70</f>
        <v>0</v>
      </c>
      <c r="AF69" t="str">
        <f>IFERROR(VLOOKUP(Y69,Data!$G$65:$K$79,4,0),"")</f>
        <v/>
      </c>
      <c r="AG69" s="51" t="e">
        <f>#REF!</f>
        <v>#REF!</v>
      </c>
      <c r="AK69">
        <f t="shared" si="16"/>
        <v>0</v>
      </c>
      <c r="AL69">
        <f t="shared" si="17"/>
        <v>0</v>
      </c>
      <c r="AM69" s="70">
        <f t="shared" si="18"/>
        <v>0</v>
      </c>
      <c r="AN69" s="7" t="b">
        <f t="shared" si="19"/>
        <v>0</v>
      </c>
    </row>
    <row r="70" spans="1:40" x14ac:dyDescent="0.3">
      <c r="A70" s="50">
        <f>IF(D70="A",_xlfn.IFNA(INDEX(Data!$H$24:$J$28,MATCH('DL 1'!E71,Data!$G$24:$G$28,1),MATCH('DL 1'!D71,Data!$H$23:$J$23,1)),0),0)</f>
        <v>0</v>
      </c>
      <c r="B70">
        <f>IF('DL 1'!F71="Y",Q70,0)</f>
        <v>0</v>
      </c>
      <c r="C70" t="e">
        <f>_xlfn.IFNA(INDEX(Data!$H$24:$J$28,MATCH(#REF!,Data!$G$24:$G$28,1),MATCH(#REF!,Data!$H$23:$J$23,1)),0)</f>
        <v>#REF!</v>
      </c>
      <c r="D70" t="str">
        <f>RIGHT(TRIM('DL 1'!G71),1)</f>
        <v/>
      </c>
      <c r="E70" s="8">
        <f>'DL 1'!E71*'DL 1'!D71</f>
        <v>0</v>
      </c>
      <c r="F70" t="str">
        <f>_xlfn.IFNA(VLOOKUP(TRIM('DL 1'!G71),Data!$A:$C,3,0),"")</f>
        <v/>
      </c>
      <c r="G70" s="7">
        <f>'DL 1'!E71</f>
        <v>0</v>
      </c>
      <c r="H70" s="21">
        <f>_xlfn.IFNA(VLOOKUP(TRIM('DL 1'!G71),Data!$A:$D,4,0),0)</f>
        <v>0</v>
      </c>
      <c r="I70">
        <f>_xlfn.IFNA(INDEX(Data!$G$5:$K$10,MATCH('DL 1'!D71,Data!$F$5:$F$10,1),MATCH(_xlfn.SINGLE(#REF!),Data!$G$4:$K$4,1)),0)</f>
        <v>0</v>
      </c>
      <c r="J70">
        <f>_xlfn.IFNA(IF(VLOOKUP(TRIM('DL 1'!G71),Data!$A:$C,3,0)="ST1",H70*I70*G70,IF(VLOOKUP(TRIM('DL 1'!G71),Data!$A:$C,3,0)="IR0",H70*G70,MIN(H70:I70)*G70)),0)</f>
        <v>0</v>
      </c>
      <c r="K70" t="e">
        <f>_xlfn.IFNA(VLOOKUP(TRIM(#REF!),Data!$A:$D,4,0)*#REF!,0)</f>
        <v>#REF!</v>
      </c>
      <c r="L70">
        <f>IF(TRIM('DL 1'!G71)="EDCLNHT0IRNLI",20000,0)</f>
        <v>0</v>
      </c>
      <c r="M70">
        <f>IF(ISERROR(MATCH('DL 1'!A71,#REF!,0)),0,J70*2)</f>
        <v>0</v>
      </c>
      <c r="N70" t="e">
        <f>#REF!</f>
        <v>#REF!</v>
      </c>
      <c r="O70">
        <f>_xlfn.IFNA(VLOOKUP(RIGHT(VLOOKUP(TRIM('DL 1'!G71),Data!$A:$B,2,0),1),Data!$L$23:$M$30,2,0),0)</f>
        <v>0</v>
      </c>
      <c r="P70">
        <f t="shared" si="20"/>
        <v>0</v>
      </c>
      <c r="Q70" s="7" t="b">
        <f t="shared" si="11"/>
        <v>0</v>
      </c>
      <c r="R70" s="27">
        <f>INCENTIVE!$E$8</f>
        <v>130000000</v>
      </c>
      <c r="S70">
        <f>'DL 1'!D71</f>
        <v>0</v>
      </c>
      <c r="T70" t="str">
        <f t="shared" si="12"/>
        <v>1</v>
      </c>
      <c r="V70" t="str">
        <f t="shared" si="13"/>
        <v>1</v>
      </c>
      <c r="W70">
        <f t="shared" si="14"/>
        <v>0.25</v>
      </c>
      <c r="X70" s="7">
        <f>'DL 1'!E71</f>
        <v>0</v>
      </c>
      <c r="Y70" s="69">
        <f>'DL 1'!G71</f>
        <v>0</v>
      </c>
      <c r="AC70" t="str">
        <f>IFERROR(VLOOKUP(Y70,Data!$G$65:$L$69,2,0) *X70,"")</f>
        <v/>
      </c>
      <c r="AD70" s="7">
        <f t="shared" si="15"/>
        <v>0</v>
      </c>
      <c r="AE70">
        <f>'DL 1'!F71</f>
        <v>0</v>
      </c>
      <c r="AF70" t="str">
        <f>IFERROR(VLOOKUP(Y70,Data!$G$65:$K$79,4,0),"")</f>
        <v/>
      </c>
      <c r="AG70" s="51" t="e">
        <f>#REF!</f>
        <v>#REF!</v>
      </c>
      <c r="AK70">
        <f t="shared" si="16"/>
        <v>0</v>
      </c>
      <c r="AL70">
        <f t="shared" si="17"/>
        <v>0</v>
      </c>
      <c r="AM70" s="70">
        <f t="shared" si="18"/>
        <v>0</v>
      </c>
      <c r="AN70" s="7" t="b">
        <f t="shared" si="19"/>
        <v>0</v>
      </c>
    </row>
    <row r="71" spans="1:40" x14ac:dyDescent="0.3">
      <c r="A71" s="50">
        <f>IF(D71="A",_xlfn.IFNA(INDEX(Data!$H$24:$J$28,MATCH('DL 1'!E72,Data!$G$24:$G$28,1),MATCH('DL 1'!D72,Data!$H$23:$J$23,1)),0),0)</f>
        <v>0</v>
      </c>
      <c r="B71">
        <f>IF('DL 1'!F72="Y",Q71,0)</f>
        <v>0</v>
      </c>
      <c r="C71" t="e">
        <f>_xlfn.IFNA(INDEX(Data!$H$24:$J$28,MATCH(#REF!,Data!$G$24:$G$28,1),MATCH(#REF!,Data!$H$23:$J$23,1)),0)</f>
        <v>#REF!</v>
      </c>
      <c r="D71" t="str">
        <f>RIGHT(TRIM('DL 1'!G72),1)</f>
        <v/>
      </c>
      <c r="E71" s="8">
        <f>'DL 1'!E72*'DL 1'!D72</f>
        <v>0</v>
      </c>
      <c r="F71" t="str">
        <f>_xlfn.IFNA(VLOOKUP(TRIM('DL 1'!G72),Data!$A:$C,3,0),"")</f>
        <v/>
      </c>
      <c r="G71" s="7">
        <f>'DL 1'!E72</f>
        <v>0</v>
      </c>
      <c r="H71" s="21">
        <f>_xlfn.IFNA(VLOOKUP(TRIM('DL 1'!G72),Data!$A:$D,4,0),0)</f>
        <v>0</v>
      </c>
      <c r="I71">
        <f>_xlfn.IFNA(INDEX(Data!$G$5:$K$10,MATCH('DL 1'!D72,Data!$F$5:$F$10,1),MATCH(_xlfn.SINGLE(#REF!),Data!$G$4:$K$4,1)),0)</f>
        <v>0</v>
      </c>
      <c r="J71">
        <f>_xlfn.IFNA(IF(VLOOKUP(TRIM('DL 1'!G72),Data!$A:$C,3,0)="ST1",H71*I71*G71,IF(VLOOKUP(TRIM('DL 1'!G72),Data!$A:$C,3,0)="IR0",H71*G71,MIN(H71:I71)*G71)),0)</f>
        <v>0</v>
      </c>
      <c r="K71" t="e">
        <f>_xlfn.IFNA(VLOOKUP(TRIM(#REF!),Data!$A:$D,4,0)*#REF!,0)</f>
        <v>#REF!</v>
      </c>
      <c r="L71">
        <f>IF(TRIM('DL 1'!G72)="EDCLNHT0IRNLI",20000,0)</f>
        <v>0</v>
      </c>
      <c r="M71">
        <f>IF(ISERROR(MATCH('DL 1'!A72,#REF!,0)),0,J71*2)</f>
        <v>0</v>
      </c>
      <c r="N71" t="e">
        <f>#REF!</f>
        <v>#REF!</v>
      </c>
      <c r="O71">
        <f>_xlfn.IFNA(VLOOKUP(RIGHT(VLOOKUP(TRIM('DL 1'!G72),Data!$A:$B,2,0),1),Data!$L$23:$M$30,2,0),0)</f>
        <v>0</v>
      </c>
      <c r="P71">
        <f t="shared" si="20"/>
        <v>0</v>
      </c>
      <c r="Q71" s="7" t="b">
        <f t="shared" si="11"/>
        <v>0</v>
      </c>
      <c r="R71" s="27">
        <f>INCENTIVE!$E$8</f>
        <v>130000000</v>
      </c>
      <c r="S71">
        <f>'DL 1'!D72</f>
        <v>0</v>
      </c>
      <c r="T71" t="str">
        <f t="shared" si="12"/>
        <v>1</v>
      </c>
      <c r="V71" t="str">
        <f t="shared" si="13"/>
        <v>1</v>
      </c>
      <c r="W71">
        <f t="shared" si="14"/>
        <v>0.25</v>
      </c>
      <c r="X71" s="7">
        <f>'DL 1'!E72</f>
        <v>0</v>
      </c>
      <c r="Y71" s="69">
        <f>'DL 1'!G72</f>
        <v>0</v>
      </c>
      <c r="AC71" t="str">
        <f>IFERROR(VLOOKUP(Y71,Data!$G$65:$L$69,2,0) *X71,"")</f>
        <v/>
      </c>
      <c r="AD71" s="7">
        <f t="shared" si="15"/>
        <v>0</v>
      </c>
      <c r="AE71">
        <f>'DL 1'!F72</f>
        <v>0</v>
      </c>
      <c r="AF71" t="str">
        <f>IFERROR(VLOOKUP(Y71,Data!$G$65:$K$79,4,0),"")</f>
        <v/>
      </c>
      <c r="AG71" s="51" t="e">
        <f>#REF!</f>
        <v>#REF!</v>
      </c>
      <c r="AK71">
        <f t="shared" si="16"/>
        <v>0</v>
      </c>
      <c r="AL71">
        <f t="shared" si="17"/>
        <v>0</v>
      </c>
      <c r="AM71" s="70">
        <f t="shared" si="18"/>
        <v>0</v>
      </c>
      <c r="AN71" s="7" t="b">
        <f t="shared" si="19"/>
        <v>0</v>
      </c>
    </row>
    <row r="72" spans="1:40" x14ac:dyDescent="0.3">
      <c r="A72" s="50">
        <f>IF(D72="A",_xlfn.IFNA(INDEX(Data!$H$24:$J$28,MATCH('DL 1'!E73,Data!$G$24:$G$28,1),MATCH('DL 1'!D73,Data!$H$23:$J$23,1)),0),0)</f>
        <v>0</v>
      </c>
      <c r="B72">
        <f>IF('DL 1'!F73="Y",Q72,0)</f>
        <v>0</v>
      </c>
      <c r="C72" t="e">
        <f>_xlfn.IFNA(INDEX(Data!$H$24:$J$28,MATCH(#REF!,Data!$G$24:$G$28,1),MATCH(#REF!,Data!$H$23:$J$23,1)),0)</f>
        <v>#REF!</v>
      </c>
      <c r="D72" t="str">
        <f>RIGHT(TRIM('DL 1'!G73),1)</f>
        <v/>
      </c>
      <c r="E72" s="8">
        <f>'DL 1'!E73*'DL 1'!D73</f>
        <v>0</v>
      </c>
      <c r="F72" t="str">
        <f>_xlfn.IFNA(VLOOKUP(TRIM('DL 1'!G73),Data!$A:$C,3,0),"")</f>
        <v/>
      </c>
      <c r="G72" s="7">
        <f>'DL 1'!E73</f>
        <v>0</v>
      </c>
      <c r="H72" s="21">
        <f>_xlfn.IFNA(VLOOKUP(TRIM('DL 1'!G73),Data!$A:$D,4,0),0)</f>
        <v>0</v>
      </c>
      <c r="I72">
        <f>_xlfn.IFNA(INDEX(Data!$G$5:$K$10,MATCH('DL 1'!D73,Data!$F$5:$F$10,1),MATCH(_xlfn.SINGLE(#REF!),Data!$G$4:$K$4,1)),0)</f>
        <v>0</v>
      </c>
      <c r="J72">
        <f>_xlfn.IFNA(IF(VLOOKUP(TRIM('DL 1'!G73),Data!$A:$C,3,0)="ST1",H72*I72*G72,IF(VLOOKUP(TRIM('DL 1'!G73),Data!$A:$C,3,0)="IR0",H72*G72,MIN(H72:I72)*G72)),0)</f>
        <v>0</v>
      </c>
      <c r="K72" t="e">
        <f>_xlfn.IFNA(VLOOKUP(TRIM(#REF!),Data!$A:$D,4,0)*#REF!,0)</f>
        <v>#REF!</v>
      </c>
      <c r="L72">
        <f>IF(TRIM('DL 1'!G73)="EDCLNHT0IRNLI",20000,0)</f>
        <v>0</v>
      </c>
      <c r="M72">
        <f>IF(ISERROR(MATCH('DL 1'!A73,#REF!,0)),0,J72*2)</f>
        <v>0</v>
      </c>
      <c r="N72" t="e">
        <f>#REF!</f>
        <v>#REF!</v>
      </c>
      <c r="O72">
        <f>_xlfn.IFNA(VLOOKUP(RIGHT(VLOOKUP(TRIM('DL 1'!G73),Data!$A:$B,2,0),1),Data!$L$23:$M$30,2,0),0)</f>
        <v>0</v>
      </c>
      <c r="P72">
        <f t="shared" si="20"/>
        <v>0</v>
      </c>
      <c r="Q72" s="7" t="b">
        <f t="shared" si="11"/>
        <v>0</v>
      </c>
      <c r="R72" s="27">
        <f>INCENTIVE!$E$8</f>
        <v>130000000</v>
      </c>
      <c r="S72">
        <f>'DL 1'!D73</f>
        <v>0</v>
      </c>
      <c r="T72" t="str">
        <f t="shared" si="12"/>
        <v>1</v>
      </c>
      <c r="V72" t="str">
        <f t="shared" si="13"/>
        <v>1</v>
      </c>
      <c r="W72">
        <f t="shared" si="14"/>
        <v>0.25</v>
      </c>
      <c r="X72" s="7">
        <f>'DL 1'!E73</f>
        <v>0</v>
      </c>
      <c r="Y72" s="69">
        <f>'DL 1'!G73</f>
        <v>0</v>
      </c>
      <c r="AC72" t="str">
        <f>IFERROR(VLOOKUP(Y72,Data!$G$65:$L$69,2,0) *X72,"")</f>
        <v/>
      </c>
      <c r="AD72" s="7">
        <f t="shared" si="15"/>
        <v>0</v>
      </c>
      <c r="AE72">
        <f>'DL 1'!F73</f>
        <v>0</v>
      </c>
      <c r="AF72" t="str">
        <f>IFERROR(VLOOKUP(Y72,Data!$G$65:$K$79,4,0),"")</f>
        <v/>
      </c>
      <c r="AG72" s="51" t="e">
        <f>#REF!</f>
        <v>#REF!</v>
      </c>
      <c r="AK72">
        <f t="shared" si="16"/>
        <v>0</v>
      </c>
      <c r="AL72">
        <f t="shared" si="17"/>
        <v>0</v>
      </c>
      <c r="AM72" s="70">
        <f t="shared" si="18"/>
        <v>0</v>
      </c>
      <c r="AN72" s="7" t="b">
        <f t="shared" si="19"/>
        <v>0</v>
      </c>
    </row>
    <row r="73" spans="1:40" x14ac:dyDescent="0.3">
      <c r="A73" s="50">
        <f>IF(D73="A",_xlfn.IFNA(INDEX(Data!$H$24:$J$28,MATCH('DL 1'!E74,Data!$G$24:$G$28,1),MATCH('DL 1'!D74,Data!$H$23:$J$23,1)),0),0)</f>
        <v>0</v>
      </c>
      <c r="B73">
        <f>IF('DL 1'!F74="Y",Q73,0)</f>
        <v>0</v>
      </c>
      <c r="C73" t="e">
        <f>_xlfn.IFNA(INDEX(Data!$H$24:$J$28,MATCH(#REF!,Data!$G$24:$G$28,1),MATCH(#REF!,Data!$H$23:$J$23,1)),0)</f>
        <v>#REF!</v>
      </c>
      <c r="D73" t="str">
        <f>RIGHT(TRIM('DL 1'!G74),1)</f>
        <v/>
      </c>
      <c r="E73" s="8">
        <f>'DL 1'!E74*'DL 1'!D74</f>
        <v>0</v>
      </c>
      <c r="F73" t="str">
        <f>_xlfn.IFNA(VLOOKUP(TRIM('DL 1'!G74),Data!$A:$C,3,0),"")</f>
        <v/>
      </c>
      <c r="G73" s="7">
        <f>'DL 1'!E74</f>
        <v>0</v>
      </c>
      <c r="H73" s="21">
        <f>_xlfn.IFNA(VLOOKUP(TRIM('DL 1'!G74),Data!$A:$D,4,0),0)</f>
        <v>0</v>
      </c>
      <c r="I73">
        <f>_xlfn.IFNA(INDEX(Data!$G$5:$K$10,MATCH('DL 1'!D74,Data!$F$5:$F$10,1),MATCH(_xlfn.SINGLE(#REF!),Data!$G$4:$K$4,1)),0)</f>
        <v>0</v>
      </c>
      <c r="J73">
        <f>_xlfn.IFNA(IF(VLOOKUP(TRIM('DL 1'!G74),Data!$A:$C,3,0)="ST1",H73*I73*G73,IF(VLOOKUP(TRIM('DL 1'!G74),Data!$A:$C,3,0)="IR0",H73*G73,MIN(H73:I73)*G73)),0)</f>
        <v>0</v>
      </c>
      <c r="K73" t="e">
        <f>_xlfn.IFNA(VLOOKUP(TRIM(#REF!),Data!$A:$D,4,0)*#REF!,0)</f>
        <v>#REF!</v>
      </c>
      <c r="L73">
        <f>IF(TRIM('DL 1'!G74)="EDCLNHT0IRNLI",20000,0)</f>
        <v>0</v>
      </c>
      <c r="M73">
        <f>IF(ISERROR(MATCH('DL 1'!A74,#REF!,0)),0,J73*2)</f>
        <v>0</v>
      </c>
      <c r="N73" t="e">
        <f>#REF!</f>
        <v>#REF!</v>
      </c>
      <c r="O73">
        <f>_xlfn.IFNA(VLOOKUP(RIGHT(VLOOKUP(TRIM('DL 1'!G74),Data!$A:$B,2,0),1),Data!$L$23:$M$30,2,0),0)</f>
        <v>0</v>
      </c>
      <c r="P73">
        <f t="shared" si="20"/>
        <v>0</v>
      </c>
      <c r="Q73" s="7" t="b">
        <f t="shared" si="11"/>
        <v>0</v>
      </c>
      <c r="R73" s="27">
        <f>INCENTIVE!$E$8</f>
        <v>130000000</v>
      </c>
      <c r="S73">
        <f>'DL 1'!D74</f>
        <v>0</v>
      </c>
      <c r="T73" t="str">
        <f t="shared" si="12"/>
        <v>1</v>
      </c>
      <c r="V73" t="str">
        <f t="shared" si="13"/>
        <v>1</v>
      </c>
      <c r="W73">
        <f t="shared" si="14"/>
        <v>0.25</v>
      </c>
      <c r="X73" s="7">
        <f>'DL 1'!E74</f>
        <v>0</v>
      </c>
      <c r="Y73" s="69">
        <f>'DL 1'!G74</f>
        <v>0</v>
      </c>
      <c r="AC73" t="str">
        <f>IFERROR(VLOOKUP(Y73,Data!$G$65:$L$69,2,0) *X73,"")</f>
        <v/>
      </c>
      <c r="AD73" s="7">
        <f t="shared" si="15"/>
        <v>0</v>
      </c>
      <c r="AE73">
        <f>'DL 1'!F74</f>
        <v>0</v>
      </c>
      <c r="AF73" t="str">
        <f>IFERROR(VLOOKUP(Y73,Data!$G$65:$K$79,4,0),"")</f>
        <v/>
      </c>
      <c r="AG73" s="51" t="e">
        <f>#REF!</f>
        <v>#REF!</v>
      </c>
      <c r="AK73">
        <f t="shared" si="16"/>
        <v>0</v>
      </c>
      <c r="AL73">
        <f t="shared" si="17"/>
        <v>0</v>
      </c>
      <c r="AM73" s="70">
        <f t="shared" si="18"/>
        <v>0</v>
      </c>
      <c r="AN73" s="7" t="b">
        <f t="shared" si="19"/>
        <v>0</v>
      </c>
    </row>
    <row r="74" spans="1:40" x14ac:dyDescent="0.3">
      <c r="A74" s="50">
        <f>IF(D74="A",_xlfn.IFNA(INDEX(Data!$H$24:$J$28,MATCH('DL 1'!E75,Data!$G$24:$G$28,1),MATCH('DL 1'!D75,Data!$H$23:$J$23,1)),0),0)</f>
        <v>0</v>
      </c>
      <c r="B74">
        <f>IF('DL 1'!F75="Y",Q74,0)</f>
        <v>0</v>
      </c>
      <c r="C74" t="e">
        <f>_xlfn.IFNA(INDEX(Data!$H$24:$J$28,MATCH(#REF!,Data!$G$24:$G$28,1),MATCH(#REF!,Data!$H$23:$J$23,1)),0)</f>
        <v>#REF!</v>
      </c>
      <c r="D74" t="str">
        <f>RIGHT(TRIM('DL 1'!G75),1)</f>
        <v/>
      </c>
      <c r="E74" s="8">
        <f>'DL 1'!E75*'DL 1'!D75</f>
        <v>0</v>
      </c>
      <c r="F74" t="str">
        <f>_xlfn.IFNA(VLOOKUP(TRIM('DL 1'!G75),Data!$A:$C,3,0),"")</f>
        <v/>
      </c>
      <c r="G74" s="7">
        <f>'DL 1'!E75</f>
        <v>0</v>
      </c>
      <c r="H74" s="21">
        <f>_xlfn.IFNA(VLOOKUP(TRIM('DL 1'!G75),Data!$A:$D,4,0),0)</f>
        <v>0</v>
      </c>
      <c r="I74">
        <f>_xlfn.IFNA(INDEX(Data!$G$5:$K$10,MATCH('DL 1'!D75,Data!$F$5:$F$10,1),MATCH(_xlfn.SINGLE(#REF!),Data!$G$4:$K$4,1)),0)</f>
        <v>0</v>
      </c>
      <c r="J74">
        <f>_xlfn.IFNA(IF(VLOOKUP(TRIM('DL 1'!G75),Data!$A:$C,3,0)="ST1",H74*I74*G74,IF(VLOOKUP(TRIM('DL 1'!G75),Data!$A:$C,3,0)="IR0",H74*G74,MIN(H74:I74)*G74)),0)</f>
        <v>0</v>
      </c>
      <c r="K74" t="e">
        <f>_xlfn.IFNA(VLOOKUP(TRIM(#REF!),Data!$A:$D,4,0)*#REF!,0)</f>
        <v>#REF!</v>
      </c>
      <c r="L74">
        <f>IF(TRIM('DL 1'!G75)="EDCLNHT0IRNLI",20000,0)</f>
        <v>0</v>
      </c>
      <c r="M74">
        <f>IF(ISERROR(MATCH('DL 1'!A75,#REF!,0)),0,J74*2)</f>
        <v>0</v>
      </c>
      <c r="N74" t="e">
        <f>#REF!</f>
        <v>#REF!</v>
      </c>
      <c r="O74">
        <f>_xlfn.IFNA(VLOOKUP(RIGHT(VLOOKUP(TRIM('DL 1'!G75),Data!$A:$B,2,0),1),Data!$L$23:$M$30,2,0),0)</f>
        <v>0</v>
      </c>
      <c r="P74">
        <f t="shared" si="20"/>
        <v>0</v>
      </c>
      <c r="Q74" s="7" t="b">
        <f t="shared" si="11"/>
        <v>0</v>
      </c>
      <c r="R74" s="27">
        <f>INCENTIVE!$E$8</f>
        <v>130000000</v>
      </c>
      <c r="S74">
        <f>'DL 1'!D75</f>
        <v>0</v>
      </c>
      <c r="T74" t="str">
        <f t="shared" si="12"/>
        <v>1</v>
      </c>
      <c r="V74" t="str">
        <f t="shared" si="13"/>
        <v>1</v>
      </c>
      <c r="W74">
        <f t="shared" si="14"/>
        <v>0.25</v>
      </c>
      <c r="X74" s="7">
        <f>'DL 1'!E75</f>
        <v>0</v>
      </c>
      <c r="Y74" s="69">
        <f>'DL 1'!G75</f>
        <v>0</v>
      </c>
      <c r="AC74" t="str">
        <f>IFERROR(VLOOKUP(Y74,Data!$G$65:$L$69,2,0) *X74,"")</f>
        <v/>
      </c>
      <c r="AD74" s="7">
        <f t="shared" si="15"/>
        <v>0</v>
      </c>
      <c r="AE74">
        <f>'DL 1'!F75</f>
        <v>0</v>
      </c>
      <c r="AF74" t="str">
        <f>IFERROR(VLOOKUP(Y74,Data!$G$65:$K$79,4,0),"")</f>
        <v/>
      </c>
      <c r="AG74" s="51" t="e">
        <f>#REF!</f>
        <v>#REF!</v>
      </c>
      <c r="AK74">
        <f t="shared" si="16"/>
        <v>0</v>
      </c>
      <c r="AL74">
        <f t="shared" si="17"/>
        <v>0</v>
      </c>
      <c r="AM74" s="70">
        <f t="shared" si="18"/>
        <v>0</v>
      </c>
      <c r="AN74" s="7" t="b">
        <f t="shared" si="19"/>
        <v>0</v>
      </c>
    </row>
    <row r="75" spans="1:40" x14ac:dyDescent="0.3">
      <c r="A75" s="50">
        <f>IF(D75="A",_xlfn.IFNA(INDEX(Data!$H$24:$J$28,MATCH('DL 1'!E76,Data!$G$24:$G$28,1),MATCH('DL 1'!D76,Data!$H$23:$J$23,1)),0),0)</f>
        <v>0</v>
      </c>
      <c r="B75">
        <f>IF('DL 1'!F76="Y",Q75,0)</f>
        <v>0</v>
      </c>
      <c r="C75" t="e">
        <f>_xlfn.IFNA(INDEX(Data!$H$24:$J$28,MATCH(#REF!,Data!$G$24:$G$28,1),MATCH(#REF!,Data!$H$23:$J$23,1)),0)</f>
        <v>#REF!</v>
      </c>
      <c r="D75" t="str">
        <f>RIGHT(TRIM('DL 1'!G76),1)</f>
        <v/>
      </c>
      <c r="E75" s="8">
        <f>'DL 1'!E76*'DL 1'!D76</f>
        <v>0</v>
      </c>
      <c r="F75" t="str">
        <f>_xlfn.IFNA(VLOOKUP(TRIM('DL 1'!G76),Data!$A:$C,3,0),"")</f>
        <v/>
      </c>
      <c r="G75" s="7">
        <f>'DL 1'!E76</f>
        <v>0</v>
      </c>
      <c r="H75" s="21">
        <f>_xlfn.IFNA(VLOOKUP(TRIM('DL 1'!G76),Data!$A:$D,4,0),0)</f>
        <v>0</v>
      </c>
      <c r="I75">
        <f>_xlfn.IFNA(INDEX(Data!$G$5:$K$10,MATCH('DL 1'!D76,Data!$F$5:$F$10,1),MATCH(_xlfn.SINGLE(#REF!),Data!$G$4:$K$4,1)),0)</f>
        <v>0</v>
      </c>
      <c r="J75">
        <f>_xlfn.IFNA(IF(VLOOKUP(TRIM('DL 1'!G76),Data!$A:$C,3,0)="ST1",H75*I75*G75,IF(VLOOKUP(TRIM('DL 1'!G76),Data!$A:$C,3,0)="IR0",H75*G75,MIN(H75:I75)*G75)),0)</f>
        <v>0</v>
      </c>
      <c r="K75" t="e">
        <f>_xlfn.IFNA(VLOOKUP(TRIM(#REF!),Data!$A:$D,4,0)*#REF!,0)</f>
        <v>#REF!</v>
      </c>
      <c r="L75">
        <f>IF(TRIM('DL 1'!G76)="EDCLNHT0IRNLI",20000,0)</f>
        <v>0</v>
      </c>
      <c r="M75">
        <f>IF(ISERROR(MATCH('DL 1'!A76,#REF!,0)),0,J75*2)</f>
        <v>0</v>
      </c>
      <c r="N75" t="e">
        <f>#REF!</f>
        <v>#REF!</v>
      </c>
      <c r="O75">
        <f>_xlfn.IFNA(VLOOKUP(RIGHT(VLOOKUP(TRIM('DL 1'!G76),Data!$A:$B,2,0),1),Data!$L$23:$M$30,2,0),0)</f>
        <v>0</v>
      </c>
      <c r="P75">
        <f t="shared" si="20"/>
        <v>0</v>
      </c>
      <c r="Q75" s="7" t="b">
        <f t="shared" si="11"/>
        <v>0</v>
      </c>
      <c r="R75" s="27">
        <f>INCENTIVE!$E$8</f>
        <v>130000000</v>
      </c>
      <c r="S75">
        <f>'DL 1'!D76</f>
        <v>0</v>
      </c>
      <c r="T75" t="str">
        <f t="shared" si="12"/>
        <v>1</v>
      </c>
      <c r="V75" t="str">
        <f t="shared" si="13"/>
        <v>1</v>
      </c>
      <c r="W75">
        <f t="shared" si="14"/>
        <v>0.25</v>
      </c>
      <c r="X75" s="7">
        <f>'DL 1'!E76</f>
        <v>0</v>
      </c>
      <c r="Y75" s="69">
        <f>'DL 1'!G76</f>
        <v>0</v>
      </c>
      <c r="AC75" t="str">
        <f>IFERROR(VLOOKUP(Y75,Data!$G$65:$L$69,2,0) *X75,"")</f>
        <v/>
      </c>
      <c r="AD75" s="7">
        <f t="shared" si="15"/>
        <v>0</v>
      </c>
      <c r="AE75">
        <f>'DL 1'!F76</f>
        <v>0</v>
      </c>
      <c r="AF75" t="str">
        <f>IFERROR(VLOOKUP(Y75,Data!$G$65:$K$79,4,0),"")</f>
        <v/>
      </c>
      <c r="AG75" s="51" t="e">
        <f>#REF!</f>
        <v>#REF!</v>
      </c>
      <c r="AK75">
        <f t="shared" si="16"/>
        <v>0</v>
      </c>
      <c r="AL75">
        <f t="shared" si="17"/>
        <v>0</v>
      </c>
      <c r="AM75" s="70">
        <f t="shared" si="18"/>
        <v>0</v>
      </c>
      <c r="AN75" s="7" t="b">
        <f t="shared" si="19"/>
        <v>0</v>
      </c>
    </row>
    <row r="76" spans="1:40" x14ac:dyDescent="0.3">
      <c r="A76" s="50">
        <f>IF(D76="A",_xlfn.IFNA(INDEX(Data!$H$24:$J$28,MATCH('DL 1'!E77,Data!$G$24:$G$28,1),MATCH('DL 1'!D77,Data!$H$23:$J$23,1)),0),0)</f>
        <v>0</v>
      </c>
      <c r="B76">
        <f>IF('DL 1'!F77="Y",Q76,0)</f>
        <v>0</v>
      </c>
      <c r="C76" t="e">
        <f>_xlfn.IFNA(INDEX(Data!$H$24:$J$28,MATCH(#REF!,Data!$G$24:$G$28,1),MATCH(#REF!,Data!$H$23:$J$23,1)),0)</f>
        <v>#REF!</v>
      </c>
      <c r="D76" t="str">
        <f>RIGHT(TRIM('DL 1'!G77),1)</f>
        <v/>
      </c>
      <c r="E76" s="8">
        <f>'DL 1'!E77*'DL 1'!D77</f>
        <v>0</v>
      </c>
      <c r="F76" t="str">
        <f>_xlfn.IFNA(VLOOKUP(TRIM('DL 1'!G77),Data!$A:$C,3,0),"")</f>
        <v/>
      </c>
      <c r="G76" s="7">
        <f>'DL 1'!E77</f>
        <v>0</v>
      </c>
      <c r="H76" s="21">
        <f>_xlfn.IFNA(VLOOKUP(TRIM('DL 1'!G77),Data!$A:$D,4,0),0)</f>
        <v>0</v>
      </c>
      <c r="I76">
        <f>_xlfn.IFNA(INDEX(Data!$G$5:$K$10,MATCH('DL 1'!D77,Data!$F$5:$F$10,1),MATCH(_xlfn.SINGLE(#REF!),Data!$G$4:$K$4,1)),0)</f>
        <v>0</v>
      </c>
      <c r="J76">
        <f>_xlfn.IFNA(IF(VLOOKUP(TRIM('DL 1'!G77),Data!$A:$C,3,0)="ST1",H76*I76*G76,IF(VLOOKUP(TRIM('DL 1'!G77),Data!$A:$C,3,0)="IR0",H76*G76,MIN(H76:I76)*G76)),0)</f>
        <v>0</v>
      </c>
      <c r="K76" t="e">
        <f>_xlfn.IFNA(VLOOKUP(TRIM(#REF!),Data!$A:$D,4,0)*#REF!,0)</f>
        <v>#REF!</v>
      </c>
      <c r="L76">
        <f>IF(TRIM('DL 1'!G77)="EDCLNHT0IRNLI",20000,0)</f>
        <v>0</v>
      </c>
      <c r="M76">
        <f>IF(ISERROR(MATCH('DL 1'!A77,#REF!,0)),0,J76*2)</f>
        <v>0</v>
      </c>
      <c r="N76" t="e">
        <f>#REF!</f>
        <v>#REF!</v>
      </c>
      <c r="O76">
        <f>_xlfn.IFNA(VLOOKUP(RIGHT(VLOOKUP(TRIM('DL 1'!G77),Data!$A:$B,2,0),1),Data!$L$23:$M$30,2,0),0)</f>
        <v>0</v>
      </c>
      <c r="P76">
        <f t="shared" si="20"/>
        <v>0</v>
      </c>
      <c r="Q76" s="7" t="b">
        <f t="shared" si="11"/>
        <v>0</v>
      </c>
      <c r="R76" s="27">
        <f>INCENTIVE!$E$8</f>
        <v>130000000</v>
      </c>
      <c r="S76">
        <f>'DL 1'!D77</f>
        <v>0</v>
      </c>
      <c r="T76" t="str">
        <f t="shared" si="12"/>
        <v>1</v>
      </c>
      <c r="V76" t="str">
        <f t="shared" si="13"/>
        <v>1</v>
      </c>
      <c r="W76">
        <f t="shared" si="14"/>
        <v>0.25</v>
      </c>
      <c r="X76" s="7">
        <f>'DL 1'!E77</f>
        <v>0</v>
      </c>
      <c r="Y76" s="69">
        <f>'DL 1'!G77</f>
        <v>0</v>
      </c>
      <c r="AC76" t="str">
        <f>IFERROR(VLOOKUP(Y76,Data!$G$65:$L$69,2,0) *X76,"")</f>
        <v/>
      </c>
      <c r="AD76" s="7">
        <f t="shared" si="15"/>
        <v>0</v>
      </c>
      <c r="AE76">
        <f>'DL 1'!F77</f>
        <v>0</v>
      </c>
      <c r="AF76" t="str">
        <f>IFERROR(VLOOKUP(Y76,Data!$G$65:$K$79,4,0),"")</f>
        <v/>
      </c>
      <c r="AG76" s="51" t="e">
        <f>#REF!</f>
        <v>#REF!</v>
      </c>
      <c r="AK76">
        <f t="shared" si="16"/>
        <v>0</v>
      </c>
      <c r="AL76">
        <f t="shared" si="17"/>
        <v>0</v>
      </c>
      <c r="AM76" s="70">
        <f t="shared" si="18"/>
        <v>0</v>
      </c>
      <c r="AN76" s="7" t="b">
        <f t="shared" si="19"/>
        <v>0</v>
      </c>
    </row>
    <row r="77" spans="1:40" x14ac:dyDescent="0.3">
      <c r="A77" s="50">
        <f>IF(D77="A",_xlfn.IFNA(INDEX(Data!$H$24:$J$28,MATCH('DL 1'!E78,Data!$G$24:$G$28,1),MATCH('DL 1'!D78,Data!$H$23:$J$23,1)),0),0)</f>
        <v>0</v>
      </c>
      <c r="B77">
        <f>IF('DL 1'!F78="Y",Q77,0)</f>
        <v>0</v>
      </c>
      <c r="C77" t="e">
        <f>_xlfn.IFNA(INDEX(Data!$H$24:$J$28,MATCH(#REF!,Data!$G$24:$G$28,1),MATCH(#REF!,Data!$H$23:$J$23,1)),0)</f>
        <v>#REF!</v>
      </c>
      <c r="D77" t="str">
        <f>RIGHT(TRIM('DL 1'!G78),1)</f>
        <v/>
      </c>
      <c r="E77" s="8">
        <f>'DL 1'!E78*'DL 1'!D78</f>
        <v>0</v>
      </c>
      <c r="F77" t="str">
        <f>_xlfn.IFNA(VLOOKUP(TRIM('DL 1'!G78),Data!$A:$C,3,0),"")</f>
        <v/>
      </c>
      <c r="G77" s="7">
        <f>'DL 1'!E78</f>
        <v>0</v>
      </c>
      <c r="H77" s="21">
        <f>_xlfn.IFNA(VLOOKUP(TRIM('DL 1'!G78),Data!$A:$D,4,0),0)</f>
        <v>0</v>
      </c>
      <c r="I77">
        <f>_xlfn.IFNA(INDEX(Data!$G$5:$K$10,MATCH('DL 1'!D78,Data!$F$5:$F$10,1),MATCH(_xlfn.SINGLE(#REF!),Data!$G$4:$K$4,1)),0)</f>
        <v>0</v>
      </c>
      <c r="J77">
        <f>_xlfn.IFNA(IF(VLOOKUP(TRIM('DL 1'!G78),Data!$A:$C,3,0)="ST1",H77*I77*G77,IF(VLOOKUP(TRIM('DL 1'!G78),Data!$A:$C,3,0)="IR0",H77*G77,MIN(H77:I77)*G77)),0)</f>
        <v>0</v>
      </c>
      <c r="K77" t="e">
        <f>_xlfn.IFNA(VLOOKUP(TRIM(#REF!),Data!$A:$D,4,0)*#REF!,0)</f>
        <v>#REF!</v>
      </c>
      <c r="L77">
        <f>IF(TRIM('DL 1'!G78)="EDCLNHT0IRNLI",20000,0)</f>
        <v>0</v>
      </c>
      <c r="M77">
        <f>IF(ISERROR(MATCH('DL 1'!A78,#REF!,0)),0,J77*2)</f>
        <v>0</v>
      </c>
      <c r="N77" t="e">
        <f>#REF!</f>
        <v>#REF!</v>
      </c>
      <c r="O77">
        <f>_xlfn.IFNA(VLOOKUP(RIGHT(VLOOKUP(TRIM('DL 1'!G78),Data!$A:$B,2,0),1),Data!$L$23:$M$30,2,0),0)</f>
        <v>0</v>
      </c>
      <c r="P77">
        <f t="shared" si="20"/>
        <v>0</v>
      </c>
      <c r="Q77" s="7" t="b">
        <f t="shared" si="11"/>
        <v>0</v>
      </c>
      <c r="R77" s="27">
        <f>INCENTIVE!$E$8</f>
        <v>130000000</v>
      </c>
      <c r="S77">
        <f>'DL 1'!D78</f>
        <v>0</v>
      </c>
      <c r="T77" t="str">
        <f t="shared" si="12"/>
        <v>1</v>
      </c>
      <c r="V77" t="str">
        <f t="shared" si="13"/>
        <v>1</v>
      </c>
      <c r="W77">
        <f t="shared" si="14"/>
        <v>0.25</v>
      </c>
      <c r="X77" s="7">
        <f>'DL 1'!E78</f>
        <v>0</v>
      </c>
      <c r="Y77" s="69">
        <f>'DL 1'!G78</f>
        <v>0</v>
      </c>
      <c r="AC77" t="str">
        <f>IFERROR(VLOOKUP(Y77,Data!$G$65:$L$69,2,0) *X77,"")</f>
        <v/>
      </c>
      <c r="AD77" s="7">
        <f t="shared" si="15"/>
        <v>0</v>
      </c>
      <c r="AE77">
        <f>'DL 1'!F78</f>
        <v>0</v>
      </c>
      <c r="AF77" t="str">
        <f>IFERROR(VLOOKUP(Y77,Data!$G$65:$K$79,4,0),"")</f>
        <v/>
      </c>
      <c r="AG77" s="51" t="e">
        <f>#REF!</f>
        <v>#REF!</v>
      </c>
      <c r="AK77">
        <f t="shared" si="16"/>
        <v>0</v>
      </c>
      <c r="AL77">
        <f t="shared" si="17"/>
        <v>0</v>
      </c>
      <c r="AM77" s="70">
        <f t="shared" si="18"/>
        <v>0</v>
      </c>
      <c r="AN77" s="7" t="b">
        <f t="shared" si="19"/>
        <v>0</v>
      </c>
    </row>
    <row r="78" spans="1:40" x14ac:dyDescent="0.3">
      <c r="A78" s="50">
        <f>IF(D78="A",_xlfn.IFNA(INDEX(Data!$H$24:$J$28,MATCH('DL 1'!E79,Data!$G$24:$G$28,1),MATCH('DL 1'!D79,Data!$H$23:$J$23,1)),0),0)</f>
        <v>0</v>
      </c>
      <c r="B78">
        <f>IF('DL 1'!F79="Y",Q78,0)</f>
        <v>0</v>
      </c>
      <c r="C78" t="e">
        <f>_xlfn.IFNA(INDEX(Data!$H$24:$J$28,MATCH(#REF!,Data!$G$24:$G$28,1),MATCH(#REF!,Data!$H$23:$J$23,1)),0)</f>
        <v>#REF!</v>
      </c>
      <c r="D78" t="str">
        <f>RIGHT(TRIM('DL 1'!G79),1)</f>
        <v/>
      </c>
      <c r="E78" s="8">
        <f>'DL 1'!E79*'DL 1'!D79</f>
        <v>0</v>
      </c>
      <c r="F78" t="str">
        <f>_xlfn.IFNA(VLOOKUP(TRIM('DL 1'!G79),Data!$A:$C,3,0),"")</f>
        <v/>
      </c>
      <c r="G78" s="7">
        <f>'DL 1'!E79</f>
        <v>0</v>
      </c>
      <c r="H78" s="21">
        <f>_xlfn.IFNA(VLOOKUP(TRIM('DL 1'!G79),Data!$A:$D,4,0),0)</f>
        <v>0</v>
      </c>
      <c r="I78">
        <f>_xlfn.IFNA(INDEX(Data!$G$5:$K$10,MATCH('DL 1'!D79,Data!$F$5:$F$10,1),MATCH(_xlfn.SINGLE(#REF!),Data!$G$4:$K$4,1)),0)</f>
        <v>0</v>
      </c>
      <c r="J78">
        <f>_xlfn.IFNA(IF(VLOOKUP(TRIM('DL 1'!G79),Data!$A:$C,3,0)="ST1",H78*I78*G78,IF(VLOOKUP(TRIM('DL 1'!G79),Data!$A:$C,3,0)="IR0",H78*G78,MIN(H78:I78)*G78)),0)</f>
        <v>0</v>
      </c>
      <c r="K78" t="e">
        <f>_xlfn.IFNA(VLOOKUP(TRIM(#REF!),Data!$A:$D,4,0)*#REF!,0)</f>
        <v>#REF!</v>
      </c>
      <c r="L78">
        <f>IF(TRIM('DL 1'!G79)="EDCLNHT0IRNLI",20000,0)</f>
        <v>0</v>
      </c>
      <c r="M78">
        <f>IF(ISERROR(MATCH('DL 1'!A79,#REF!,0)),0,J78*2)</f>
        <v>0</v>
      </c>
      <c r="N78" t="e">
        <f>#REF!</f>
        <v>#REF!</v>
      </c>
      <c r="O78">
        <f>_xlfn.IFNA(VLOOKUP(RIGHT(VLOOKUP(TRIM('DL 1'!G79),Data!$A:$B,2,0),1),Data!$L$23:$M$30,2,0),0)</f>
        <v>0</v>
      </c>
      <c r="P78">
        <f t="shared" si="20"/>
        <v>0</v>
      </c>
      <c r="Q78" s="7" t="b">
        <f t="shared" si="11"/>
        <v>0</v>
      </c>
      <c r="R78" s="27">
        <f>INCENTIVE!$E$8</f>
        <v>130000000</v>
      </c>
      <c r="S78">
        <f>'DL 1'!D79</f>
        <v>0</v>
      </c>
      <c r="T78" t="str">
        <f t="shared" si="12"/>
        <v>1</v>
      </c>
      <c r="V78" t="str">
        <f t="shared" si="13"/>
        <v>1</v>
      </c>
      <c r="W78">
        <f t="shared" si="14"/>
        <v>0.25</v>
      </c>
      <c r="X78" s="7">
        <f>'DL 1'!E79</f>
        <v>0</v>
      </c>
      <c r="Y78" s="69">
        <f>'DL 1'!G79</f>
        <v>0</v>
      </c>
      <c r="AC78" t="str">
        <f>IFERROR(VLOOKUP(Y78,Data!$G$65:$L$69,2,0) *X78,"")</f>
        <v/>
      </c>
      <c r="AD78" s="7">
        <f t="shared" si="15"/>
        <v>0</v>
      </c>
      <c r="AE78">
        <f>'DL 1'!F79</f>
        <v>0</v>
      </c>
      <c r="AF78" t="str">
        <f>IFERROR(VLOOKUP(Y78,Data!$G$65:$K$79,4,0),"")</f>
        <v/>
      </c>
      <c r="AG78" s="51" t="e">
        <f>#REF!</f>
        <v>#REF!</v>
      </c>
      <c r="AK78">
        <f t="shared" si="16"/>
        <v>0</v>
      </c>
      <c r="AL78">
        <f t="shared" si="17"/>
        <v>0</v>
      </c>
      <c r="AM78" s="70">
        <f t="shared" si="18"/>
        <v>0</v>
      </c>
      <c r="AN78" s="7" t="b">
        <f t="shared" si="19"/>
        <v>0</v>
      </c>
    </row>
    <row r="79" spans="1:40" x14ac:dyDescent="0.3">
      <c r="A79" s="50">
        <f>IF(D79="A",_xlfn.IFNA(INDEX(Data!$H$24:$J$28,MATCH('DL 1'!E80,Data!$G$24:$G$28,1),MATCH('DL 1'!D80,Data!$H$23:$J$23,1)),0),0)</f>
        <v>0</v>
      </c>
      <c r="B79">
        <f>IF('DL 1'!F80="Y",Q79,0)</f>
        <v>0</v>
      </c>
      <c r="C79" t="e">
        <f>_xlfn.IFNA(INDEX(Data!$H$24:$J$28,MATCH(#REF!,Data!$G$24:$G$28,1),MATCH(#REF!,Data!$H$23:$J$23,1)),0)</f>
        <v>#REF!</v>
      </c>
      <c r="D79" t="str">
        <f>RIGHT(TRIM('DL 1'!G80),1)</f>
        <v/>
      </c>
      <c r="E79" s="8">
        <f>'DL 1'!E80*'DL 1'!D80</f>
        <v>0</v>
      </c>
      <c r="F79" t="str">
        <f>_xlfn.IFNA(VLOOKUP(TRIM('DL 1'!G80),Data!$A:$C,3,0),"")</f>
        <v/>
      </c>
      <c r="G79" s="7">
        <f>'DL 1'!E80</f>
        <v>0</v>
      </c>
      <c r="H79" s="21">
        <f>_xlfn.IFNA(VLOOKUP(TRIM('DL 1'!G80),Data!$A:$D,4,0),0)</f>
        <v>0</v>
      </c>
      <c r="I79">
        <f>_xlfn.IFNA(INDEX(Data!$G$5:$K$10,MATCH('DL 1'!D80,Data!$F$5:$F$10,1),MATCH(_xlfn.SINGLE(#REF!),Data!$G$4:$K$4,1)),0)</f>
        <v>0</v>
      </c>
      <c r="J79">
        <f>_xlfn.IFNA(IF(VLOOKUP(TRIM('DL 1'!G80),Data!$A:$C,3,0)="ST1",H79*I79*G79,IF(VLOOKUP(TRIM('DL 1'!G80),Data!$A:$C,3,0)="IR0",H79*G79,MIN(H79:I79)*G79)),0)</f>
        <v>0</v>
      </c>
      <c r="K79" t="e">
        <f>_xlfn.IFNA(VLOOKUP(TRIM(#REF!),Data!$A:$D,4,0)*#REF!,0)</f>
        <v>#REF!</v>
      </c>
      <c r="L79">
        <f>IF(TRIM('DL 1'!G80)="EDCLNHT0IRNLI",20000,0)</f>
        <v>0</v>
      </c>
      <c r="M79">
        <f>IF(ISERROR(MATCH('DL 1'!A80,#REF!,0)),0,J79*2)</f>
        <v>0</v>
      </c>
      <c r="N79" t="e">
        <f>#REF!</f>
        <v>#REF!</v>
      </c>
      <c r="O79">
        <f>_xlfn.IFNA(VLOOKUP(RIGHT(VLOOKUP(TRIM('DL 1'!G80),Data!$A:$B,2,0),1),Data!$L$23:$M$30,2,0),0)</f>
        <v>0</v>
      </c>
      <c r="P79">
        <f t="shared" si="20"/>
        <v>0</v>
      </c>
      <c r="Q79" s="7" t="b">
        <f t="shared" si="11"/>
        <v>0</v>
      </c>
      <c r="R79" s="27">
        <f>INCENTIVE!$E$8</f>
        <v>130000000</v>
      </c>
      <c r="S79">
        <f>'DL 1'!D80</f>
        <v>0</v>
      </c>
      <c r="T79" t="str">
        <f t="shared" si="12"/>
        <v>1</v>
      </c>
      <c r="V79" t="str">
        <f t="shared" si="13"/>
        <v>1</v>
      </c>
      <c r="W79">
        <f t="shared" si="14"/>
        <v>0.25</v>
      </c>
      <c r="X79" s="7">
        <f>'DL 1'!E80</f>
        <v>0</v>
      </c>
      <c r="Y79" s="69">
        <f>'DL 1'!G80</f>
        <v>0</v>
      </c>
      <c r="AC79" t="str">
        <f>IFERROR(VLOOKUP(Y79,Data!$G$65:$L$69,2,0) *X79,"")</f>
        <v/>
      </c>
      <c r="AD79" s="7">
        <f t="shared" si="15"/>
        <v>0</v>
      </c>
      <c r="AE79">
        <f>'DL 1'!F80</f>
        <v>0</v>
      </c>
      <c r="AF79" t="str">
        <f>IFERROR(VLOOKUP(Y79,Data!$G$65:$K$79,4,0),"")</f>
        <v/>
      </c>
      <c r="AG79" s="51" t="e">
        <f>#REF!</f>
        <v>#REF!</v>
      </c>
      <c r="AK79">
        <f t="shared" si="16"/>
        <v>0</v>
      </c>
      <c r="AL79">
        <f t="shared" si="17"/>
        <v>0</v>
      </c>
      <c r="AM79" s="70">
        <f t="shared" si="18"/>
        <v>0</v>
      </c>
      <c r="AN79" s="7" t="b">
        <f t="shared" si="19"/>
        <v>0</v>
      </c>
    </row>
    <row r="80" spans="1:40" x14ac:dyDescent="0.3">
      <c r="A80" s="50">
        <f>IF(D80="A",_xlfn.IFNA(INDEX(Data!$H$24:$J$28,MATCH('DL 1'!E81,Data!$G$24:$G$28,1),MATCH('DL 1'!D81,Data!$H$23:$J$23,1)),0),0)</f>
        <v>0</v>
      </c>
      <c r="B80">
        <f>IF('DL 1'!F81="Y",Q80,0)</f>
        <v>0</v>
      </c>
      <c r="C80" t="e">
        <f>_xlfn.IFNA(INDEX(Data!$H$24:$J$28,MATCH(#REF!,Data!$G$24:$G$28,1),MATCH(#REF!,Data!$H$23:$J$23,1)),0)</f>
        <v>#REF!</v>
      </c>
      <c r="D80" t="str">
        <f>RIGHT(TRIM('DL 1'!G81),1)</f>
        <v/>
      </c>
      <c r="E80" s="8">
        <f>'DL 1'!E81*'DL 1'!D81</f>
        <v>0</v>
      </c>
      <c r="F80" t="str">
        <f>_xlfn.IFNA(VLOOKUP(TRIM('DL 1'!G81),Data!$A:$C,3,0),"")</f>
        <v/>
      </c>
      <c r="G80" s="7">
        <f>'DL 1'!E81</f>
        <v>0</v>
      </c>
      <c r="H80" s="21">
        <f>_xlfn.IFNA(VLOOKUP(TRIM('DL 1'!G81),Data!$A:$D,4,0),0)</f>
        <v>0</v>
      </c>
      <c r="I80">
        <f>_xlfn.IFNA(INDEX(Data!$G$5:$K$10,MATCH('DL 1'!D81,Data!$F$5:$F$10,1),MATCH(_xlfn.SINGLE(#REF!),Data!$G$4:$K$4,1)),0)</f>
        <v>0</v>
      </c>
      <c r="J80">
        <f>_xlfn.IFNA(IF(VLOOKUP(TRIM('DL 1'!G81),Data!$A:$C,3,0)="ST1",H80*I80*G80,IF(VLOOKUP(TRIM('DL 1'!G81),Data!$A:$C,3,0)="IR0",H80*G80,MIN(H80:I80)*G80)),0)</f>
        <v>0</v>
      </c>
      <c r="K80" t="e">
        <f>_xlfn.IFNA(VLOOKUP(TRIM(#REF!),Data!$A:$D,4,0)*#REF!,0)</f>
        <v>#REF!</v>
      </c>
      <c r="L80">
        <f>IF(TRIM('DL 1'!G81)="EDCLNHT0IRNLI",20000,0)</f>
        <v>0</v>
      </c>
      <c r="M80">
        <f>IF(ISERROR(MATCH('DL 1'!A81,#REF!,0)),0,J80*2)</f>
        <v>0</v>
      </c>
      <c r="N80" t="e">
        <f>#REF!</f>
        <v>#REF!</v>
      </c>
      <c r="O80">
        <f>_xlfn.IFNA(VLOOKUP(RIGHT(VLOOKUP(TRIM('DL 1'!G81),Data!$A:$B,2,0),1),Data!$L$23:$M$30,2,0),0)</f>
        <v>0</v>
      </c>
      <c r="P80">
        <f t="shared" si="20"/>
        <v>0</v>
      </c>
      <c r="Q80" s="7" t="b">
        <f t="shared" si="11"/>
        <v>0</v>
      </c>
      <c r="R80" s="27">
        <f>INCENTIVE!$E$8</f>
        <v>130000000</v>
      </c>
      <c r="S80">
        <f>'DL 1'!D81</f>
        <v>0</v>
      </c>
      <c r="T80" t="str">
        <f t="shared" si="12"/>
        <v>1</v>
      </c>
      <c r="V80" t="str">
        <f t="shared" si="13"/>
        <v>1</v>
      </c>
      <c r="W80">
        <f t="shared" si="14"/>
        <v>0.25</v>
      </c>
      <c r="X80" s="7">
        <f>'DL 1'!E81</f>
        <v>0</v>
      </c>
      <c r="Y80" s="69">
        <f>'DL 1'!G81</f>
        <v>0</v>
      </c>
      <c r="AC80" t="str">
        <f>IFERROR(VLOOKUP(Y80,Data!$G$65:$L$69,2,0) *X80,"")</f>
        <v/>
      </c>
      <c r="AD80" s="7">
        <f t="shared" si="15"/>
        <v>0</v>
      </c>
      <c r="AE80">
        <f>'DL 1'!F81</f>
        <v>0</v>
      </c>
      <c r="AF80" t="str">
        <f>IFERROR(VLOOKUP(Y80,Data!$G$65:$K$79,4,0),"")</f>
        <v/>
      </c>
      <c r="AG80" s="51" t="e">
        <f>#REF!</f>
        <v>#REF!</v>
      </c>
      <c r="AK80">
        <f t="shared" si="16"/>
        <v>0</v>
      </c>
      <c r="AL80">
        <f t="shared" si="17"/>
        <v>0</v>
      </c>
      <c r="AM80" s="70">
        <f t="shared" si="18"/>
        <v>0</v>
      </c>
      <c r="AN80" s="7" t="b">
        <f t="shared" si="19"/>
        <v>0</v>
      </c>
    </row>
    <row r="81" spans="1:40" x14ac:dyDescent="0.3">
      <c r="A81" s="50">
        <f>IF(D81="A",_xlfn.IFNA(INDEX(Data!$H$24:$J$28,MATCH('DL 1'!E82,Data!$G$24:$G$28,1),MATCH('DL 1'!D82,Data!$H$23:$J$23,1)),0),0)</f>
        <v>0</v>
      </c>
      <c r="B81">
        <f>IF('DL 1'!F82="Y",Q81,0)</f>
        <v>0</v>
      </c>
      <c r="C81" t="e">
        <f>_xlfn.IFNA(INDEX(Data!$H$24:$J$28,MATCH(#REF!,Data!$G$24:$G$28,1),MATCH(#REF!,Data!$H$23:$J$23,1)),0)</f>
        <v>#REF!</v>
      </c>
      <c r="D81" t="str">
        <f>RIGHT(TRIM('DL 1'!G82),1)</f>
        <v/>
      </c>
      <c r="E81" s="8">
        <f>'DL 1'!E82*'DL 1'!D82</f>
        <v>0</v>
      </c>
      <c r="F81" t="str">
        <f>_xlfn.IFNA(VLOOKUP(TRIM('DL 1'!G82),Data!$A:$C,3,0),"")</f>
        <v/>
      </c>
      <c r="G81" s="7">
        <f>'DL 1'!E82</f>
        <v>0</v>
      </c>
      <c r="H81" s="21">
        <f>_xlfn.IFNA(VLOOKUP(TRIM('DL 1'!G82),Data!$A:$D,4,0),0)</f>
        <v>0</v>
      </c>
      <c r="I81">
        <f>_xlfn.IFNA(INDEX(Data!$G$5:$K$10,MATCH('DL 1'!D82,Data!$F$5:$F$10,1),MATCH(_xlfn.SINGLE(#REF!),Data!$G$4:$K$4,1)),0)</f>
        <v>0</v>
      </c>
      <c r="J81">
        <f>_xlfn.IFNA(IF(VLOOKUP(TRIM('DL 1'!G82),Data!$A:$C,3,0)="ST1",H81*I81*G81,IF(VLOOKUP(TRIM('DL 1'!G82),Data!$A:$C,3,0)="IR0",H81*G81,MIN(H81:I81)*G81)),0)</f>
        <v>0</v>
      </c>
      <c r="K81" t="e">
        <f>_xlfn.IFNA(VLOOKUP(TRIM(#REF!),Data!$A:$D,4,0)*#REF!,0)</f>
        <v>#REF!</v>
      </c>
      <c r="L81">
        <f>IF(TRIM('DL 1'!G82)="EDCLNHT0IRNLI",20000,0)</f>
        <v>0</v>
      </c>
      <c r="M81">
        <f>IF(ISERROR(MATCH('DL 1'!A82,#REF!,0)),0,J81*2)</f>
        <v>0</v>
      </c>
      <c r="N81" t="e">
        <f>#REF!</f>
        <v>#REF!</v>
      </c>
      <c r="O81">
        <f>_xlfn.IFNA(VLOOKUP(RIGHT(VLOOKUP(TRIM('DL 1'!G82),Data!$A:$B,2,0),1),Data!$L$23:$M$30,2,0),0)</f>
        <v>0</v>
      </c>
      <c r="P81">
        <f t="shared" si="20"/>
        <v>0</v>
      </c>
      <c r="Q81" s="7" t="b">
        <f t="shared" si="11"/>
        <v>0</v>
      </c>
      <c r="R81" s="27">
        <f>INCENTIVE!$E$8</f>
        <v>130000000</v>
      </c>
      <c r="S81">
        <f>'DL 1'!D82</f>
        <v>0</v>
      </c>
      <c r="T81" t="str">
        <f t="shared" si="12"/>
        <v>1</v>
      </c>
      <c r="V81" t="str">
        <f t="shared" si="13"/>
        <v>1</v>
      </c>
      <c r="W81">
        <f t="shared" si="14"/>
        <v>0.25</v>
      </c>
      <c r="X81" s="7">
        <f>'DL 1'!E82</f>
        <v>0</v>
      </c>
      <c r="Y81" s="69">
        <f>'DL 1'!G82</f>
        <v>0</v>
      </c>
      <c r="AC81" t="str">
        <f>IFERROR(VLOOKUP(Y81,Data!$G$65:$L$69,2,0) *X81,"")</f>
        <v/>
      </c>
      <c r="AD81" s="7">
        <f t="shared" si="15"/>
        <v>0</v>
      </c>
      <c r="AE81">
        <f>'DL 1'!F82</f>
        <v>0</v>
      </c>
      <c r="AF81" t="str">
        <f>IFERROR(VLOOKUP(Y81,Data!$G$65:$K$79,4,0),"")</f>
        <v/>
      </c>
      <c r="AG81" s="51" t="e">
        <f>#REF!</f>
        <v>#REF!</v>
      </c>
      <c r="AK81">
        <f t="shared" si="16"/>
        <v>0</v>
      </c>
      <c r="AL81">
        <f t="shared" si="17"/>
        <v>0</v>
      </c>
      <c r="AM81" s="70">
        <f t="shared" si="18"/>
        <v>0</v>
      </c>
      <c r="AN81" s="7" t="b">
        <f t="shared" si="19"/>
        <v>0</v>
      </c>
    </row>
    <row r="82" spans="1:40" x14ac:dyDescent="0.3">
      <c r="A82" s="50">
        <f>IF(D82="A",_xlfn.IFNA(INDEX(Data!$H$24:$J$28,MATCH('DL 1'!E83,Data!$G$24:$G$28,1),MATCH('DL 1'!D83,Data!$H$23:$J$23,1)),0),0)</f>
        <v>0</v>
      </c>
      <c r="B82">
        <f>IF('DL 1'!F83="Y",Q82,0)</f>
        <v>0</v>
      </c>
      <c r="C82" t="e">
        <f>_xlfn.IFNA(INDEX(Data!$H$24:$J$28,MATCH(#REF!,Data!$G$24:$G$28,1),MATCH(#REF!,Data!$H$23:$J$23,1)),0)</f>
        <v>#REF!</v>
      </c>
      <c r="D82" t="str">
        <f>RIGHT(TRIM('DL 1'!G83),1)</f>
        <v/>
      </c>
      <c r="E82" s="8">
        <f>'DL 1'!E83*'DL 1'!D83</f>
        <v>0</v>
      </c>
      <c r="F82" t="str">
        <f>_xlfn.IFNA(VLOOKUP(TRIM('DL 1'!G83),Data!$A:$C,3,0),"")</f>
        <v/>
      </c>
      <c r="G82" s="7">
        <f>'DL 1'!E83</f>
        <v>0</v>
      </c>
      <c r="H82" s="21">
        <f>_xlfn.IFNA(VLOOKUP(TRIM('DL 1'!G83),Data!$A:$D,4,0),0)</f>
        <v>0</v>
      </c>
      <c r="I82">
        <f>_xlfn.IFNA(INDEX(Data!$G$5:$K$10,MATCH('DL 1'!D83,Data!$F$5:$F$10,1),MATCH(_xlfn.SINGLE(#REF!),Data!$G$4:$K$4,1)),0)</f>
        <v>0</v>
      </c>
      <c r="J82">
        <f>_xlfn.IFNA(IF(VLOOKUP(TRIM('DL 1'!G83),Data!$A:$C,3,0)="ST1",H82*I82*G82,IF(VLOOKUP(TRIM('DL 1'!G83),Data!$A:$C,3,0)="IR0",H82*G82,MIN(H82:I82)*G82)),0)</f>
        <v>0</v>
      </c>
      <c r="K82" t="e">
        <f>_xlfn.IFNA(VLOOKUP(TRIM(#REF!),Data!$A:$D,4,0)*#REF!,0)</f>
        <v>#REF!</v>
      </c>
      <c r="L82">
        <f>IF(TRIM('DL 1'!G83)="EDCLNHT0IRNLI",20000,0)</f>
        <v>0</v>
      </c>
      <c r="M82">
        <f>IF(ISERROR(MATCH('DL 1'!A83,#REF!,0)),0,J82*2)</f>
        <v>0</v>
      </c>
      <c r="N82" t="e">
        <f>#REF!</f>
        <v>#REF!</v>
      </c>
      <c r="O82">
        <f>_xlfn.IFNA(VLOOKUP(RIGHT(VLOOKUP(TRIM('DL 1'!G83),Data!$A:$B,2,0),1),Data!$L$23:$M$30,2,0),0)</f>
        <v>0</v>
      </c>
      <c r="P82">
        <f t="shared" si="20"/>
        <v>0</v>
      </c>
      <c r="Q82" s="7" t="b">
        <f t="shared" si="11"/>
        <v>0</v>
      </c>
      <c r="R82" s="27">
        <f>INCENTIVE!$E$8</f>
        <v>130000000</v>
      </c>
      <c r="S82">
        <f>'DL 1'!D83</f>
        <v>0</v>
      </c>
      <c r="T82" t="str">
        <f t="shared" si="12"/>
        <v>1</v>
      </c>
      <c r="V82" t="str">
        <f t="shared" si="13"/>
        <v>1</v>
      </c>
      <c r="W82">
        <f t="shared" si="14"/>
        <v>0.25</v>
      </c>
      <c r="X82" s="7">
        <f>'DL 1'!E83</f>
        <v>0</v>
      </c>
      <c r="Y82" s="69">
        <f>'DL 1'!G83</f>
        <v>0</v>
      </c>
      <c r="AC82" t="str">
        <f>IFERROR(VLOOKUP(Y82,Data!$G$65:$L$69,2,0) *X82,"")</f>
        <v/>
      </c>
      <c r="AD82" s="7">
        <f t="shared" si="15"/>
        <v>0</v>
      </c>
      <c r="AE82">
        <f>'DL 1'!F83</f>
        <v>0</v>
      </c>
      <c r="AF82" t="str">
        <f>IFERROR(VLOOKUP(Y82,Data!$G$65:$K$79,4,0),"")</f>
        <v/>
      </c>
      <c r="AG82" s="51" t="e">
        <f>#REF!</f>
        <v>#REF!</v>
      </c>
      <c r="AK82">
        <f t="shared" si="16"/>
        <v>0</v>
      </c>
      <c r="AL82">
        <f t="shared" si="17"/>
        <v>0</v>
      </c>
      <c r="AM82" s="70">
        <f t="shared" si="18"/>
        <v>0</v>
      </c>
      <c r="AN82" s="7" t="b">
        <f t="shared" si="19"/>
        <v>0</v>
      </c>
    </row>
    <row r="83" spans="1:40" x14ac:dyDescent="0.3">
      <c r="A83" s="50">
        <f>IF(D83="A",_xlfn.IFNA(INDEX(Data!$H$24:$J$28,MATCH('DL 1'!E84,Data!$G$24:$G$28,1),MATCH('DL 1'!D84,Data!$H$23:$J$23,1)),0),0)</f>
        <v>0</v>
      </c>
      <c r="B83">
        <f>IF('DL 1'!F84="Y",Q83,0)</f>
        <v>0</v>
      </c>
      <c r="C83" t="e">
        <f>_xlfn.IFNA(INDEX(Data!$H$24:$J$28,MATCH(#REF!,Data!$G$24:$G$28,1),MATCH(#REF!,Data!$H$23:$J$23,1)),0)</f>
        <v>#REF!</v>
      </c>
      <c r="D83" t="str">
        <f>RIGHT(TRIM('DL 1'!G84),1)</f>
        <v/>
      </c>
      <c r="E83" s="8">
        <f>'DL 1'!E84*'DL 1'!D84</f>
        <v>0</v>
      </c>
      <c r="F83" t="str">
        <f>_xlfn.IFNA(VLOOKUP(TRIM('DL 1'!G84),Data!$A:$C,3,0),"")</f>
        <v/>
      </c>
      <c r="G83" s="7">
        <f>'DL 1'!E84</f>
        <v>0</v>
      </c>
      <c r="H83" s="21">
        <f>_xlfn.IFNA(VLOOKUP(TRIM('DL 1'!G84),Data!$A:$D,4,0),0)</f>
        <v>0</v>
      </c>
      <c r="I83">
        <f>_xlfn.IFNA(INDEX(Data!$G$5:$K$10,MATCH('DL 1'!D84,Data!$F$5:$F$10,1),MATCH(_xlfn.SINGLE(#REF!),Data!$G$4:$K$4,1)),0)</f>
        <v>0</v>
      </c>
      <c r="J83">
        <f>_xlfn.IFNA(IF(VLOOKUP(TRIM('DL 1'!G84),Data!$A:$C,3,0)="ST1",H83*I83*G83,IF(VLOOKUP(TRIM('DL 1'!G84),Data!$A:$C,3,0)="IR0",H83*G83,MIN(H83:I83)*G83)),0)</f>
        <v>0</v>
      </c>
      <c r="K83" t="e">
        <f>_xlfn.IFNA(VLOOKUP(TRIM(#REF!),Data!$A:$D,4,0)*#REF!,0)</f>
        <v>#REF!</v>
      </c>
      <c r="L83">
        <f>IF(TRIM('DL 1'!G84)="EDCLNHT0IRNLI",20000,0)</f>
        <v>0</v>
      </c>
      <c r="M83">
        <f>IF(ISERROR(MATCH('DL 1'!A84,#REF!,0)),0,J83*2)</f>
        <v>0</v>
      </c>
      <c r="N83" t="e">
        <f>#REF!</f>
        <v>#REF!</v>
      </c>
      <c r="O83">
        <f>_xlfn.IFNA(VLOOKUP(RIGHT(VLOOKUP(TRIM('DL 1'!G84),Data!$A:$B,2,0),1),Data!$L$23:$M$30,2,0),0)</f>
        <v>0</v>
      </c>
      <c r="P83">
        <f t="shared" si="20"/>
        <v>0</v>
      </c>
      <c r="Q83" s="7" t="b">
        <f t="shared" si="11"/>
        <v>0</v>
      </c>
      <c r="R83" s="27">
        <f>INCENTIVE!$E$8</f>
        <v>130000000</v>
      </c>
      <c r="S83">
        <f>'DL 1'!D84</f>
        <v>0</v>
      </c>
      <c r="T83" t="str">
        <f t="shared" si="12"/>
        <v>1</v>
      </c>
      <c r="V83" t="str">
        <f t="shared" si="13"/>
        <v>1</v>
      </c>
      <c r="W83">
        <f t="shared" si="14"/>
        <v>0.25</v>
      </c>
      <c r="X83" s="7">
        <f>'DL 1'!E84</f>
        <v>0</v>
      </c>
      <c r="Y83" s="69">
        <f>'DL 1'!G84</f>
        <v>0</v>
      </c>
      <c r="AC83" t="str">
        <f>IFERROR(VLOOKUP(Y83,Data!$G$65:$L$69,2,0) *X83,"")</f>
        <v/>
      </c>
      <c r="AD83" s="7">
        <f t="shared" si="15"/>
        <v>0</v>
      </c>
      <c r="AE83">
        <f>'DL 1'!F84</f>
        <v>0</v>
      </c>
      <c r="AF83" t="str">
        <f>IFERROR(VLOOKUP(Y83,Data!$G$65:$K$79,4,0),"")</f>
        <v/>
      </c>
      <c r="AG83" s="51" t="e">
        <f>#REF!</f>
        <v>#REF!</v>
      </c>
      <c r="AK83">
        <f t="shared" si="16"/>
        <v>0</v>
      </c>
      <c r="AL83">
        <f t="shared" si="17"/>
        <v>0</v>
      </c>
      <c r="AM83" s="70">
        <f t="shared" si="18"/>
        <v>0</v>
      </c>
      <c r="AN83" s="7" t="b">
        <f t="shared" si="19"/>
        <v>0</v>
      </c>
    </row>
    <row r="84" spans="1:40" x14ac:dyDescent="0.3">
      <c r="A84" s="50">
        <f>IF(D84="A",_xlfn.IFNA(INDEX(Data!$H$24:$J$28,MATCH('DL 1'!E85,Data!$G$24:$G$28,1),MATCH('DL 1'!D85,Data!$H$23:$J$23,1)),0),0)</f>
        <v>0</v>
      </c>
      <c r="B84">
        <f>IF('DL 1'!F85="Y",Q84,0)</f>
        <v>0</v>
      </c>
      <c r="C84" t="e">
        <f>_xlfn.IFNA(INDEX(Data!$H$24:$J$28,MATCH(#REF!,Data!$G$24:$G$28,1),MATCH(#REF!,Data!$H$23:$J$23,1)),0)</f>
        <v>#REF!</v>
      </c>
      <c r="D84" t="str">
        <f>RIGHT(TRIM('DL 1'!G85),1)</f>
        <v/>
      </c>
      <c r="E84" s="8">
        <f>'DL 1'!E85*'DL 1'!D85</f>
        <v>0</v>
      </c>
      <c r="F84" t="str">
        <f>_xlfn.IFNA(VLOOKUP(TRIM('DL 1'!G85),Data!$A:$C,3,0),"")</f>
        <v/>
      </c>
      <c r="G84" s="7">
        <f>'DL 1'!E85</f>
        <v>0</v>
      </c>
      <c r="H84" s="21">
        <f>_xlfn.IFNA(VLOOKUP(TRIM('DL 1'!G85),Data!$A:$D,4,0),0)</f>
        <v>0</v>
      </c>
      <c r="I84">
        <f>_xlfn.IFNA(INDEX(Data!$G$5:$K$10,MATCH('DL 1'!D85,Data!$F$5:$F$10,1),MATCH(_xlfn.SINGLE(#REF!),Data!$G$4:$K$4,1)),0)</f>
        <v>0</v>
      </c>
      <c r="J84">
        <f>_xlfn.IFNA(IF(VLOOKUP(TRIM('DL 1'!G85),Data!$A:$C,3,0)="ST1",H84*I84*G84,IF(VLOOKUP(TRIM('DL 1'!G85),Data!$A:$C,3,0)="IR0",H84*G84,MIN(H84:I84)*G84)),0)</f>
        <v>0</v>
      </c>
      <c r="K84" t="e">
        <f>_xlfn.IFNA(VLOOKUP(TRIM(#REF!),Data!$A:$D,4,0)*#REF!,0)</f>
        <v>#REF!</v>
      </c>
      <c r="L84">
        <f>IF(TRIM('DL 1'!G85)="EDCLNHT0IRNLI",20000,0)</f>
        <v>0</v>
      </c>
      <c r="M84">
        <f>IF(ISERROR(MATCH('DL 1'!A85,#REF!,0)),0,J84*2)</f>
        <v>0</v>
      </c>
      <c r="N84" t="e">
        <f>#REF!</f>
        <v>#REF!</v>
      </c>
      <c r="O84">
        <f>_xlfn.IFNA(VLOOKUP(RIGHT(VLOOKUP(TRIM('DL 1'!G85),Data!$A:$B,2,0),1),Data!$L$23:$M$30,2,0),0)</f>
        <v>0</v>
      </c>
      <c r="P84">
        <f t="shared" si="20"/>
        <v>0</v>
      </c>
      <c r="Q84" s="7" t="b">
        <f t="shared" si="11"/>
        <v>0</v>
      </c>
      <c r="R84" s="27">
        <f>INCENTIVE!$E$8</f>
        <v>130000000</v>
      </c>
      <c r="S84">
        <f>'DL 1'!D85</f>
        <v>0</v>
      </c>
      <c r="T84" t="str">
        <f t="shared" si="12"/>
        <v>1</v>
      </c>
      <c r="V84" t="str">
        <f t="shared" si="13"/>
        <v>1</v>
      </c>
      <c r="W84">
        <f t="shared" si="14"/>
        <v>0.25</v>
      </c>
      <c r="X84" s="7">
        <f>'DL 1'!E85</f>
        <v>0</v>
      </c>
      <c r="Y84" s="69">
        <f>'DL 1'!G85</f>
        <v>0</v>
      </c>
      <c r="AC84" t="str">
        <f>IFERROR(VLOOKUP(Y84,Data!$G$65:$L$69,2,0) *X84,"")</f>
        <v/>
      </c>
      <c r="AD84" s="7">
        <f t="shared" si="15"/>
        <v>0</v>
      </c>
      <c r="AE84">
        <f>'DL 1'!F85</f>
        <v>0</v>
      </c>
      <c r="AF84" t="str">
        <f>IFERROR(VLOOKUP(Y84,Data!$G$65:$K$79,4,0),"")</f>
        <v/>
      </c>
      <c r="AG84" s="51" t="e">
        <f>#REF!</f>
        <v>#REF!</v>
      </c>
      <c r="AK84">
        <f t="shared" si="16"/>
        <v>0</v>
      </c>
      <c r="AL84">
        <f t="shared" si="17"/>
        <v>0</v>
      </c>
      <c r="AM84" s="70">
        <f t="shared" si="18"/>
        <v>0</v>
      </c>
      <c r="AN84" s="7" t="b">
        <f t="shared" si="19"/>
        <v>0</v>
      </c>
    </row>
    <row r="85" spans="1:40" x14ac:dyDescent="0.3">
      <c r="A85" s="50">
        <f>IF(D85="A",_xlfn.IFNA(INDEX(Data!$H$24:$J$28,MATCH('DL 1'!E86,Data!$G$24:$G$28,1),MATCH('DL 1'!D86,Data!$H$23:$J$23,1)),0),0)</f>
        <v>0</v>
      </c>
      <c r="B85">
        <f>IF('DL 1'!F86="Y",Q85,0)</f>
        <v>0</v>
      </c>
      <c r="C85" t="e">
        <f>_xlfn.IFNA(INDEX(Data!$H$24:$J$28,MATCH(#REF!,Data!$G$24:$G$28,1),MATCH(#REF!,Data!$H$23:$J$23,1)),0)</f>
        <v>#REF!</v>
      </c>
      <c r="D85" t="str">
        <f>RIGHT(TRIM('DL 1'!G86),1)</f>
        <v/>
      </c>
      <c r="E85" s="8">
        <f>'DL 1'!E86*'DL 1'!D86</f>
        <v>0</v>
      </c>
      <c r="F85" t="str">
        <f>_xlfn.IFNA(VLOOKUP(TRIM('DL 1'!G86),Data!$A:$C,3,0),"")</f>
        <v/>
      </c>
      <c r="G85" s="7">
        <f>'DL 1'!E86</f>
        <v>0</v>
      </c>
      <c r="H85" s="21">
        <f>_xlfn.IFNA(VLOOKUP(TRIM('DL 1'!G86),Data!$A:$D,4,0),0)</f>
        <v>0</v>
      </c>
      <c r="I85">
        <f>_xlfn.IFNA(INDEX(Data!$G$5:$K$10,MATCH('DL 1'!D86,Data!$F$5:$F$10,1),MATCH(_xlfn.SINGLE(#REF!),Data!$G$4:$K$4,1)),0)</f>
        <v>0</v>
      </c>
      <c r="J85">
        <f>_xlfn.IFNA(IF(VLOOKUP(TRIM('DL 1'!G86),Data!$A:$C,3,0)="ST1",H85*I85*G85,IF(VLOOKUP(TRIM('DL 1'!G86),Data!$A:$C,3,0)="IR0",H85*G85,MIN(H85:I85)*G85)),0)</f>
        <v>0</v>
      </c>
      <c r="K85" t="e">
        <f>_xlfn.IFNA(VLOOKUP(TRIM(#REF!),Data!$A:$D,4,0)*#REF!,0)</f>
        <v>#REF!</v>
      </c>
      <c r="L85">
        <f>IF(TRIM('DL 1'!G86)="EDCLNHT0IRNLI",20000,0)</f>
        <v>0</v>
      </c>
      <c r="M85">
        <f>IF(ISERROR(MATCH('DL 1'!A86,#REF!,0)),0,J85*2)</f>
        <v>0</v>
      </c>
      <c r="N85" t="e">
        <f>#REF!</f>
        <v>#REF!</v>
      </c>
      <c r="O85">
        <f>_xlfn.IFNA(VLOOKUP(RIGHT(VLOOKUP(TRIM('DL 1'!G86),Data!$A:$B,2,0),1),Data!$L$23:$M$30,2,0),0)</f>
        <v>0</v>
      </c>
      <c r="P85">
        <f t="shared" si="20"/>
        <v>0</v>
      </c>
      <c r="Q85" s="7" t="b">
        <f t="shared" si="11"/>
        <v>0</v>
      </c>
      <c r="R85" s="27">
        <f>INCENTIVE!$E$8</f>
        <v>130000000</v>
      </c>
      <c r="S85">
        <f>'DL 1'!D86</f>
        <v>0</v>
      </c>
      <c r="T85" t="str">
        <f t="shared" si="12"/>
        <v>1</v>
      </c>
      <c r="V85" t="str">
        <f t="shared" si="13"/>
        <v>1</v>
      </c>
      <c r="W85">
        <f t="shared" si="14"/>
        <v>0.25</v>
      </c>
      <c r="X85" s="7">
        <f>'DL 1'!E86</f>
        <v>0</v>
      </c>
      <c r="Y85" s="69">
        <f>'DL 1'!G86</f>
        <v>0</v>
      </c>
      <c r="AC85" t="str">
        <f>IFERROR(VLOOKUP(Y85,Data!$G$65:$L$69,2,0) *X85,"")</f>
        <v/>
      </c>
      <c r="AD85" s="7">
        <f t="shared" si="15"/>
        <v>0</v>
      </c>
      <c r="AE85">
        <f>'DL 1'!F86</f>
        <v>0</v>
      </c>
      <c r="AF85" t="str">
        <f>IFERROR(VLOOKUP(Y85,Data!$G$65:$K$79,4,0),"")</f>
        <v/>
      </c>
      <c r="AG85" s="51" t="e">
        <f>#REF!</f>
        <v>#REF!</v>
      </c>
      <c r="AK85">
        <f t="shared" si="16"/>
        <v>0</v>
      </c>
      <c r="AL85">
        <f t="shared" si="17"/>
        <v>0</v>
      </c>
      <c r="AM85" s="70">
        <f t="shared" si="18"/>
        <v>0</v>
      </c>
      <c r="AN85" s="7" t="b">
        <f t="shared" si="19"/>
        <v>0</v>
      </c>
    </row>
    <row r="86" spans="1:40" x14ac:dyDescent="0.3">
      <c r="A86" s="50">
        <f>IF(D86="A",_xlfn.IFNA(INDEX(Data!$H$24:$J$28,MATCH('DL 1'!E87,Data!$G$24:$G$28,1),MATCH('DL 1'!D87,Data!$H$23:$J$23,1)),0),0)</f>
        <v>0</v>
      </c>
      <c r="B86">
        <f>IF('DL 1'!F87="Y",Q86,0)</f>
        <v>0</v>
      </c>
      <c r="C86" t="e">
        <f>_xlfn.IFNA(INDEX(Data!$H$24:$J$28,MATCH(#REF!,Data!$G$24:$G$28,1),MATCH(#REF!,Data!$H$23:$J$23,1)),0)</f>
        <v>#REF!</v>
      </c>
      <c r="D86" t="str">
        <f>RIGHT(TRIM('DL 1'!G87),1)</f>
        <v/>
      </c>
      <c r="E86" s="8">
        <f>'DL 1'!E87*'DL 1'!D87</f>
        <v>0</v>
      </c>
      <c r="F86" t="str">
        <f>_xlfn.IFNA(VLOOKUP(TRIM('DL 1'!G87),Data!$A:$C,3,0),"")</f>
        <v/>
      </c>
      <c r="G86" s="7">
        <f>'DL 1'!E87</f>
        <v>0</v>
      </c>
      <c r="H86" s="21">
        <f>_xlfn.IFNA(VLOOKUP(TRIM('DL 1'!G87),Data!$A:$D,4,0),0)</f>
        <v>0</v>
      </c>
      <c r="I86">
        <f>_xlfn.IFNA(INDEX(Data!$G$5:$K$10,MATCH('DL 1'!D87,Data!$F$5:$F$10,1),MATCH(_xlfn.SINGLE(#REF!),Data!$G$4:$K$4,1)),0)</f>
        <v>0</v>
      </c>
      <c r="J86">
        <f>_xlfn.IFNA(IF(VLOOKUP(TRIM('DL 1'!G87),Data!$A:$C,3,0)="ST1",H86*I86*G86,IF(VLOOKUP(TRIM('DL 1'!G87),Data!$A:$C,3,0)="IR0",H86*G86,MIN(H86:I86)*G86)),0)</f>
        <v>0</v>
      </c>
      <c r="K86" t="e">
        <f>_xlfn.IFNA(VLOOKUP(TRIM(#REF!),Data!$A:$D,4,0)*#REF!,0)</f>
        <v>#REF!</v>
      </c>
      <c r="L86">
        <f>IF(TRIM('DL 1'!G87)="EDCLNHT0IRNLI",20000,0)</f>
        <v>0</v>
      </c>
      <c r="M86">
        <f>IF(ISERROR(MATCH('DL 1'!A87,#REF!,0)),0,J86*2)</f>
        <v>0</v>
      </c>
      <c r="N86" t="e">
        <f>#REF!</f>
        <v>#REF!</v>
      </c>
      <c r="O86">
        <f>_xlfn.IFNA(VLOOKUP(RIGHT(VLOOKUP(TRIM('DL 1'!G87),Data!$A:$B,2,0),1),Data!$L$23:$M$30,2,0),0)</f>
        <v>0</v>
      </c>
      <c r="P86">
        <f t="shared" si="20"/>
        <v>0</v>
      </c>
      <c r="Q86" s="7" t="b">
        <f t="shared" si="11"/>
        <v>0</v>
      </c>
      <c r="R86" s="27">
        <f>INCENTIVE!$E$8</f>
        <v>130000000</v>
      </c>
      <c r="S86">
        <f>'DL 1'!D87</f>
        <v>0</v>
      </c>
      <c r="T86" t="str">
        <f t="shared" si="12"/>
        <v>1</v>
      </c>
      <c r="V86" t="str">
        <f t="shared" si="13"/>
        <v>1</v>
      </c>
      <c r="W86">
        <f t="shared" si="14"/>
        <v>0.25</v>
      </c>
      <c r="X86" s="7">
        <f>'DL 1'!E87</f>
        <v>0</v>
      </c>
      <c r="Y86" s="69">
        <f>'DL 1'!G87</f>
        <v>0</v>
      </c>
      <c r="AC86" t="str">
        <f>IFERROR(VLOOKUP(Y86,Data!$G$65:$L$69,2,0) *X86,"")</f>
        <v/>
      </c>
      <c r="AD86" s="7">
        <f t="shared" si="15"/>
        <v>0</v>
      </c>
      <c r="AE86">
        <f>'DL 1'!F87</f>
        <v>0</v>
      </c>
      <c r="AF86" t="str">
        <f>IFERROR(VLOOKUP(Y86,Data!$G$65:$K$79,4,0),"")</f>
        <v/>
      </c>
      <c r="AG86" s="51" t="e">
        <f>#REF!</f>
        <v>#REF!</v>
      </c>
      <c r="AK86">
        <f t="shared" si="16"/>
        <v>0</v>
      </c>
      <c r="AL86">
        <f t="shared" si="17"/>
        <v>0</v>
      </c>
      <c r="AM86" s="70">
        <f t="shared" si="18"/>
        <v>0</v>
      </c>
      <c r="AN86" s="7" t="b">
        <f t="shared" si="19"/>
        <v>0</v>
      </c>
    </row>
    <row r="87" spans="1:40" x14ac:dyDescent="0.3">
      <c r="A87" s="50">
        <f>IF(D87="A",_xlfn.IFNA(INDEX(Data!$H$24:$J$28,MATCH('DL 1'!E88,Data!$G$24:$G$28,1),MATCH('DL 1'!D88,Data!$H$23:$J$23,1)),0),0)</f>
        <v>0</v>
      </c>
      <c r="B87">
        <f>IF('DL 1'!F88="Y",Q87,0)</f>
        <v>0</v>
      </c>
      <c r="C87" t="e">
        <f>_xlfn.IFNA(INDEX(Data!$H$24:$J$28,MATCH(#REF!,Data!$G$24:$G$28,1),MATCH(#REF!,Data!$H$23:$J$23,1)),0)</f>
        <v>#REF!</v>
      </c>
      <c r="D87" t="str">
        <f>RIGHT(TRIM('DL 1'!G88),1)</f>
        <v/>
      </c>
      <c r="E87" s="8">
        <f>'DL 1'!E88*'DL 1'!D88</f>
        <v>0</v>
      </c>
      <c r="F87" t="str">
        <f>_xlfn.IFNA(VLOOKUP(TRIM('DL 1'!G88),Data!$A:$C,3,0),"")</f>
        <v/>
      </c>
      <c r="G87" s="7">
        <f>'DL 1'!E88</f>
        <v>0</v>
      </c>
      <c r="H87" s="21">
        <f>_xlfn.IFNA(VLOOKUP(TRIM('DL 1'!G88),Data!$A:$D,4,0),0)</f>
        <v>0</v>
      </c>
      <c r="I87">
        <f>_xlfn.IFNA(INDEX(Data!$G$5:$K$10,MATCH('DL 1'!D88,Data!$F$5:$F$10,1),MATCH(_xlfn.SINGLE(#REF!),Data!$G$4:$K$4,1)),0)</f>
        <v>0</v>
      </c>
      <c r="J87">
        <f>_xlfn.IFNA(IF(VLOOKUP(TRIM('DL 1'!G88),Data!$A:$C,3,0)="ST1",H87*I87*G87,IF(VLOOKUP(TRIM('DL 1'!G88),Data!$A:$C,3,0)="IR0",H87*G87,MIN(H87:I87)*G87)),0)</f>
        <v>0</v>
      </c>
      <c r="K87" t="e">
        <f>_xlfn.IFNA(VLOOKUP(TRIM(#REF!),Data!$A:$D,4,0)*#REF!,0)</f>
        <v>#REF!</v>
      </c>
      <c r="L87">
        <f>IF(TRIM('DL 1'!G88)="EDCLNHT0IRNLI",20000,0)</f>
        <v>0</v>
      </c>
      <c r="M87">
        <f>IF(ISERROR(MATCH('DL 1'!A88,#REF!,0)),0,J87*2)</f>
        <v>0</v>
      </c>
      <c r="N87" t="e">
        <f>#REF!</f>
        <v>#REF!</v>
      </c>
      <c r="O87">
        <f>_xlfn.IFNA(VLOOKUP(RIGHT(VLOOKUP(TRIM('DL 1'!G88),Data!$A:$B,2,0),1),Data!$L$23:$M$30,2,0),0)</f>
        <v>0</v>
      </c>
      <c r="P87">
        <f t="shared" si="20"/>
        <v>0</v>
      </c>
      <c r="Q87" s="7" t="b">
        <f t="shared" si="11"/>
        <v>0</v>
      </c>
      <c r="R87" s="27">
        <f>INCENTIVE!$E$8</f>
        <v>130000000</v>
      </c>
      <c r="S87">
        <f>'DL 1'!D88</f>
        <v>0</v>
      </c>
      <c r="T87" t="str">
        <f t="shared" si="12"/>
        <v>1</v>
      </c>
      <c r="V87" t="str">
        <f t="shared" si="13"/>
        <v>1</v>
      </c>
      <c r="W87">
        <f t="shared" si="14"/>
        <v>0.25</v>
      </c>
      <c r="X87" s="7">
        <f>'DL 1'!E88</f>
        <v>0</v>
      </c>
      <c r="Y87" s="69">
        <f>'DL 1'!G88</f>
        <v>0</v>
      </c>
      <c r="AC87" t="str">
        <f>IFERROR(VLOOKUP(Y87,Data!$G$65:$L$69,2,0) *X87,"")</f>
        <v/>
      </c>
      <c r="AD87" s="7">
        <f t="shared" si="15"/>
        <v>0</v>
      </c>
      <c r="AE87">
        <f>'DL 1'!F88</f>
        <v>0</v>
      </c>
      <c r="AF87" t="str">
        <f>IFERROR(VLOOKUP(Y87,Data!$G$65:$K$79,4,0),"")</f>
        <v/>
      </c>
      <c r="AG87" s="51" t="e">
        <f>#REF!</f>
        <v>#REF!</v>
      </c>
      <c r="AK87">
        <f t="shared" si="16"/>
        <v>0</v>
      </c>
      <c r="AL87">
        <f t="shared" si="17"/>
        <v>0</v>
      </c>
      <c r="AM87" s="70">
        <f t="shared" si="18"/>
        <v>0</v>
      </c>
      <c r="AN87" s="7" t="b">
        <f t="shared" si="19"/>
        <v>0</v>
      </c>
    </row>
    <row r="88" spans="1:40" x14ac:dyDescent="0.3">
      <c r="A88" s="50">
        <f>IF(D88="A",_xlfn.IFNA(INDEX(Data!$H$24:$J$28,MATCH('DL 1'!E89,Data!$G$24:$G$28,1),MATCH('DL 1'!D89,Data!$H$23:$J$23,1)),0),0)</f>
        <v>0</v>
      </c>
      <c r="B88">
        <f>IF('DL 1'!F89="Y",Q88,0)</f>
        <v>0</v>
      </c>
      <c r="C88" t="e">
        <f>_xlfn.IFNA(INDEX(Data!$H$24:$J$28,MATCH(#REF!,Data!$G$24:$G$28,1),MATCH(#REF!,Data!$H$23:$J$23,1)),0)</f>
        <v>#REF!</v>
      </c>
      <c r="D88" t="str">
        <f>RIGHT(TRIM('DL 1'!G89),1)</f>
        <v/>
      </c>
      <c r="E88" s="8">
        <f>'DL 1'!E89*'DL 1'!D89</f>
        <v>0</v>
      </c>
      <c r="F88" t="str">
        <f>_xlfn.IFNA(VLOOKUP(TRIM('DL 1'!G89),Data!$A:$C,3,0),"")</f>
        <v/>
      </c>
      <c r="G88" s="7">
        <f>'DL 1'!E89</f>
        <v>0</v>
      </c>
      <c r="H88" s="21">
        <f>_xlfn.IFNA(VLOOKUP(TRIM('DL 1'!G89),Data!$A:$D,4,0),0)</f>
        <v>0</v>
      </c>
      <c r="I88">
        <f>_xlfn.IFNA(INDEX(Data!$G$5:$K$10,MATCH('DL 1'!D89,Data!$F$5:$F$10,1),MATCH(_xlfn.SINGLE(#REF!),Data!$G$4:$K$4,1)),0)</f>
        <v>0</v>
      </c>
      <c r="J88">
        <f>_xlfn.IFNA(IF(VLOOKUP(TRIM('DL 1'!G89),Data!$A:$C,3,0)="ST1",H88*I88*G88,IF(VLOOKUP(TRIM('DL 1'!G89),Data!$A:$C,3,0)="IR0",H88*G88,MIN(H88:I88)*G88)),0)</f>
        <v>0</v>
      </c>
      <c r="K88" t="e">
        <f>_xlfn.IFNA(VLOOKUP(TRIM(#REF!),Data!$A:$D,4,0)*#REF!,0)</f>
        <v>#REF!</v>
      </c>
      <c r="L88">
        <f>IF(TRIM('DL 1'!G89)="EDCLNHT0IRNLI",20000,0)</f>
        <v>0</v>
      </c>
      <c r="M88">
        <f>IF(ISERROR(MATCH('DL 1'!A89,#REF!,0)),0,J88*2)</f>
        <v>0</v>
      </c>
      <c r="N88" t="e">
        <f>#REF!</f>
        <v>#REF!</v>
      </c>
      <c r="O88">
        <f>_xlfn.IFNA(VLOOKUP(RIGHT(VLOOKUP(TRIM('DL 1'!G89),Data!$A:$B,2,0),1),Data!$L$23:$M$30,2,0),0)</f>
        <v>0</v>
      </c>
      <c r="P88">
        <f t="shared" si="20"/>
        <v>0</v>
      </c>
      <c r="Q88" s="7" t="b">
        <f t="shared" si="11"/>
        <v>0</v>
      </c>
      <c r="R88" s="27">
        <f>INCENTIVE!$E$8</f>
        <v>130000000</v>
      </c>
      <c r="S88">
        <f>'DL 1'!D89</f>
        <v>0</v>
      </c>
      <c r="T88" t="str">
        <f t="shared" si="12"/>
        <v>1</v>
      </c>
      <c r="V88" t="str">
        <f t="shared" si="13"/>
        <v>1</v>
      </c>
      <c r="W88">
        <f t="shared" si="14"/>
        <v>0.25</v>
      </c>
      <c r="X88" s="7">
        <f>'DL 1'!E89</f>
        <v>0</v>
      </c>
      <c r="Y88" s="69">
        <f>'DL 1'!G89</f>
        <v>0</v>
      </c>
      <c r="AC88" t="str">
        <f>IFERROR(VLOOKUP(Y88,Data!$G$65:$L$69,2,0) *X88,"")</f>
        <v/>
      </c>
      <c r="AD88" s="7">
        <f t="shared" si="15"/>
        <v>0</v>
      </c>
      <c r="AE88">
        <f>'DL 1'!F89</f>
        <v>0</v>
      </c>
      <c r="AF88" t="str">
        <f>IFERROR(VLOOKUP(Y88,Data!$G$65:$K$79,4,0),"")</f>
        <v/>
      </c>
      <c r="AG88" s="51" t="e">
        <f>#REF!</f>
        <v>#REF!</v>
      </c>
      <c r="AK88">
        <f t="shared" si="16"/>
        <v>0</v>
      </c>
      <c r="AL88">
        <f t="shared" si="17"/>
        <v>0</v>
      </c>
      <c r="AM88" s="70">
        <f t="shared" si="18"/>
        <v>0</v>
      </c>
      <c r="AN88" s="7" t="b">
        <f t="shared" si="19"/>
        <v>0</v>
      </c>
    </row>
    <row r="89" spans="1:40" x14ac:dyDescent="0.3">
      <c r="A89" s="50">
        <f>IF(D89="A",_xlfn.IFNA(INDEX(Data!$H$24:$J$28,MATCH('DL 1'!E90,Data!$G$24:$G$28,1),MATCH('DL 1'!D90,Data!$H$23:$J$23,1)),0),0)</f>
        <v>0</v>
      </c>
      <c r="B89">
        <f>IF('DL 1'!F90="Y",Q89,0)</f>
        <v>0</v>
      </c>
      <c r="C89" t="e">
        <f>_xlfn.IFNA(INDEX(Data!$H$24:$J$28,MATCH(#REF!,Data!$G$24:$G$28,1),MATCH(#REF!,Data!$H$23:$J$23,1)),0)</f>
        <v>#REF!</v>
      </c>
      <c r="D89" t="str">
        <f>RIGHT(TRIM('DL 1'!G90),1)</f>
        <v/>
      </c>
      <c r="E89" s="8">
        <f>'DL 1'!E90*'DL 1'!D90</f>
        <v>0</v>
      </c>
      <c r="F89" t="str">
        <f>_xlfn.IFNA(VLOOKUP(TRIM('DL 1'!G90),Data!$A:$C,3,0),"")</f>
        <v/>
      </c>
      <c r="G89" s="7">
        <f>'DL 1'!E90</f>
        <v>0</v>
      </c>
      <c r="H89" s="21">
        <f>_xlfn.IFNA(VLOOKUP(TRIM('DL 1'!G90),Data!$A:$D,4,0),0)</f>
        <v>0</v>
      </c>
      <c r="I89">
        <f>_xlfn.IFNA(INDEX(Data!$G$5:$K$10,MATCH('DL 1'!D90,Data!$F$5:$F$10,1),MATCH(_xlfn.SINGLE(#REF!),Data!$G$4:$K$4,1)),0)</f>
        <v>0</v>
      </c>
      <c r="J89">
        <f>_xlfn.IFNA(IF(VLOOKUP(TRIM('DL 1'!G90),Data!$A:$C,3,0)="ST1",H89*I89*G89,IF(VLOOKUP(TRIM('DL 1'!G90),Data!$A:$C,3,0)="IR0",H89*G89,MIN(H89:I89)*G89)),0)</f>
        <v>0</v>
      </c>
      <c r="K89" t="e">
        <f>_xlfn.IFNA(VLOOKUP(TRIM(#REF!),Data!$A:$D,4,0)*#REF!,0)</f>
        <v>#REF!</v>
      </c>
      <c r="L89">
        <f>IF(TRIM('DL 1'!G90)="EDCLNHT0IRNLI",20000,0)</f>
        <v>0</v>
      </c>
      <c r="M89">
        <f>IF(ISERROR(MATCH('DL 1'!A90,#REF!,0)),0,J89*2)</f>
        <v>0</v>
      </c>
      <c r="N89" t="e">
        <f>#REF!</f>
        <v>#REF!</v>
      </c>
      <c r="O89">
        <f>_xlfn.IFNA(VLOOKUP(RIGHT(VLOOKUP(TRIM('DL 1'!G90),Data!$A:$B,2,0),1),Data!$L$23:$M$30,2,0),0)</f>
        <v>0</v>
      </c>
      <c r="P89">
        <f t="shared" si="20"/>
        <v>0</v>
      </c>
      <c r="Q89" s="7" t="b">
        <f t="shared" si="11"/>
        <v>0</v>
      </c>
      <c r="R89" s="27">
        <f>INCENTIVE!$E$8</f>
        <v>130000000</v>
      </c>
      <c r="S89">
        <f>'DL 1'!D90</f>
        <v>0</v>
      </c>
      <c r="T89" t="str">
        <f t="shared" si="12"/>
        <v>1</v>
      </c>
      <c r="V89" t="str">
        <f t="shared" si="13"/>
        <v>1</v>
      </c>
      <c r="W89">
        <f t="shared" si="14"/>
        <v>0.25</v>
      </c>
      <c r="X89" s="7">
        <f>'DL 1'!E90</f>
        <v>0</v>
      </c>
      <c r="Y89" s="69">
        <f>'DL 1'!G90</f>
        <v>0</v>
      </c>
      <c r="AC89" t="str">
        <f>IFERROR(VLOOKUP(Y89,Data!$G$65:$L$69,2,0) *X89,"")</f>
        <v/>
      </c>
      <c r="AD89" s="7">
        <f t="shared" si="15"/>
        <v>0</v>
      </c>
      <c r="AE89">
        <f>'DL 1'!F90</f>
        <v>0</v>
      </c>
      <c r="AF89" t="str">
        <f>IFERROR(VLOOKUP(Y89,Data!$G$65:$K$79,4,0),"")</f>
        <v/>
      </c>
      <c r="AG89" s="51" t="e">
        <f>#REF!</f>
        <v>#REF!</v>
      </c>
      <c r="AK89">
        <f t="shared" si="16"/>
        <v>0</v>
      </c>
      <c r="AL89">
        <f t="shared" si="17"/>
        <v>0</v>
      </c>
      <c r="AM89" s="70">
        <f t="shared" si="18"/>
        <v>0</v>
      </c>
      <c r="AN89" s="7" t="b">
        <f t="shared" si="19"/>
        <v>0</v>
      </c>
    </row>
    <row r="90" spans="1:40" x14ac:dyDescent="0.3">
      <c r="A90" s="50">
        <f>IF(D90="A",_xlfn.IFNA(INDEX(Data!$H$24:$J$28,MATCH('DL 1'!E91,Data!$G$24:$G$28,1),MATCH('DL 1'!D91,Data!$H$23:$J$23,1)),0),0)</f>
        <v>0</v>
      </c>
      <c r="B90">
        <f>IF('DL 1'!F91="Y",Q90,0)</f>
        <v>0</v>
      </c>
      <c r="C90" t="e">
        <f>_xlfn.IFNA(INDEX(Data!$H$24:$J$28,MATCH(#REF!,Data!$G$24:$G$28,1),MATCH(#REF!,Data!$H$23:$J$23,1)),0)</f>
        <v>#REF!</v>
      </c>
      <c r="D90" t="str">
        <f>RIGHT(TRIM('DL 1'!G91),1)</f>
        <v/>
      </c>
      <c r="E90" s="8">
        <f>'DL 1'!E91*'DL 1'!D91</f>
        <v>0</v>
      </c>
      <c r="F90" t="str">
        <f>_xlfn.IFNA(VLOOKUP(TRIM('DL 1'!G91),Data!$A:$C,3,0),"")</f>
        <v/>
      </c>
      <c r="G90" s="7">
        <f>'DL 1'!E91</f>
        <v>0</v>
      </c>
      <c r="H90" s="21">
        <f>_xlfn.IFNA(VLOOKUP(TRIM('DL 1'!G91),Data!$A:$D,4,0),0)</f>
        <v>0</v>
      </c>
      <c r="I90">
        <f>_xlfn.IFNA(INDEX(Data!$G$5:$K$10,MATCH('DL 1'!D91,Data!$F$5:$F$10,1),MATCH(_xlfn.SINGLE(#REF!),Data!$G$4:$K$4,1)),0)</f>
        <v>0</v>
      </c>
      <c r="J90">
        <f>_xlfn.IFNA(IF(VLOOKUP(TRIM('DL 1'!G91),Data!$A:$C,3,0)="ST1",H90*I90*G90,IF(VLOOKUP(TRIM('DL 1'!G91),Data!$A:$C,3,0)="IR0",H90*G90,MIN(H90:I90)*G90)),0)</f>
        <v>0</v>
      </c>
      <c r="K90" t="e">
        <f>_xlfn.IFNA(VLOOKUP(TRIM(#REF!),Data!$A:$D,4,0)*#REF!,0)</f>
        <v>#REF!</v>
      </c>
      <c r="L90">
        <f>IF(TRIM('DL 1'!G91)="EDCLNHT0IRNLI",20000,0)</f>
        <v>0</v>
      </c>
      <c r="M90">
        <f>IF(ISERROR(MATCH('DL 1'!A91,#REF!,0)),0,J90*2)</f>
        <v>0</v>
      </c>
      <c r="N90" t="e">
        <f>#REF!</f>
        <v>#REF!</v>
      </c>
      <c r="O90">
        <f>_xlfn.IFNA(VLOOKUP(RIGHT(VLOOKUP(TRIM('DL 1'!G91),Data!$A:$B,2,0),1),Data!$L$23:$M$30,2,0),0)</f>
        <v>0</v>
      </c>
      <c r="P90">
        <f t="shared" si="20"/>
        <v>0</v>
      </c>
      <c r="Q90" s="7" t="b">
        <f t="shared" si="11"/>
        <v>0</v>
      </c>
      <c r="R90" s="27">
        <f>INCENTIVE!$E$8</f>
        <v>130000000</v>
      </c>
      <c r="S90">
        <f>'DL 1'!D91</f>
        <v>0</v>
      </c>
      <c r="T90" t="str">
        <f t="shared" si="12"/>
        <v>1</v>
      </c>
      <c r="V90" t="str">
        <f t="shared" si="13"/>
        <v>1</v>
      </c>
      <c r="W90">
        <f t="shared" si="14"/>
        <v>0.25</v>
      </c>
      <c r="X90" s="7">
        <f>'DL 1'!E91</f>
        <v>0</v>
      </c>
      <c r="Y90" s="69">
        <f>'DL 1'!G91</f>
        <v>0</v>
      </c>
      <c r="AC90" t="str">
        <f>IFERROR(VLOOKUP(Y90,Data!$G$65:$L$69,2,0) *X90,"")</f>
        <v/>
      </c>
      <c r="AD90" s="7">
        <f t="shared" si="15"/>
        <v>0</v>
      </c>
      <c r="AE90">
        <f>'DL 1'!F91</f>
        <v>0</v>
      </c>
      <c r="AF90" t="str">
        <f>IFERROR(VLOOKUP(Y90,Data!$G$65:$K$79,4,0),"")</f>
        <v/>
      </c>
      <c r="AG90" s="51" t="e">
        <f>#REF!</f>
        <v>#REF!</v>
      </c>
      <c r="AK90">
        <f t="shared" si="16"/>
        <v>0</v>
      </c>
      <c r="AL90">
        <f t="shared" si="17"/>
        <v>0</v>
      </c>
      <c r="AM90" s="70">
        <f t="shared" si="18"/>
        <v>0</v>
      </c>
      <c r="AN90" s="7" t="b">
        <f t="shared" si="19"/>
        <v>0</v>
      </c>
    </row>
    <row r="91" spans="1:40" x14ac:dyDescent="0.3">
      <c r="A91" s="50">
        <f>IF(D91="A",_xlfn.IFNA(INDEX(Data!$H$24:$J$28,MATCH('DL 1'!E92,Data!$G$24:$G$28,1),MATCH('DL 1'!D92,Data!$H$23:$J$23,1)),0),0)</f>
        <v>0</v>
      </c>
      <c r="B91">
        <f>IF('DL 1'!F92="Y",Q91,0)</f>
        <v>0</v>
      </c>
      <c r="C91" t="e">
        <f>_xlfn.IFNA(INDEX(Data!$H$24:$J$28,MATCH(#REF!,Data!$G$24:$G$28,1),MATCH(#REF!,Data!$H$23:$J$23,1)),0)</f>
        <v>#REF!</v>
      </c>
      <c r="D91" t="str">
        <f>RIGHT(TRIM('DL 1'!G92),1)</f>
        <v/>
      </c>
      <c r="E91" s="8">
        <f>'DL 1'!E92*'DL 1'!D92</f>
        <v>0</v>
      </c>
      <c r="F91" t="str">
        <f>_xlfn.IFNA(VLOOKUP(TRIM('DL 1'!G92),Data!$A:$C,3,0),"")</f>
        <v/>
      </c>
      <c r="G91" s="7">
        <f>'DL 1'!E92</f>
        <v>0</v>
      </c>
      <c r="H91" s="21">
        <f>_xlfn.IFNA(VLOOKUP(TRIM('DL 1'!G92),Data!$A:$D,4,0),0)</f>
        <v>0</v>
      </c>
      <c r="I91">
        <f>_xlfn.IFNA(INDEX(Data!$G$5:$K$10,MATCH('DL 1'!D92,Data!$F$5:$F$10,1),MATCH(_xlfn.SINGLE(#REF!),Data!$G$4:$K$4,1)),0)</f>
        <v>0</v>
      </c>
      <c r="J91">
        <f>_xlfn.IFNA(IF(VLOOKUP(TRIM('DL 1'!G92),Data!$A:$C,3,0)="ST1",H91*I91*G91,IF(VLOOKUP(TRIM('DL 1'!G92),Data!$A:$C,3,0)="IR0",H91*G91,MIN(H91:I91)*G91)),0)</f>
        <v>0</v>
      </c>
      <c r="K91" t="e">
        <f>_xlfn.IFNA(VLOOKUP(TRIM(#REF!),Data!$A:$D,4,0)*#REF!,0)</f>
        <v>#REF!</v>
      </c>
      <c r="L91">
        <f>IF(TRIM('DL 1'!G92)="EDCLNHT0IRNLI",20000,0)</f>
        <v>0</v>
      </c>
      <c r="M91">
        <f>IF(ISERROR(MATCH('DL 1'!A92,#REF!,0)),0,J91*2)</f>
        <v>0</v>
      </c>
      <c r="N91" t="e">
        <f>#REF!</f>
        <v>#REF!</v>
      </c>
      <c r="O91">
        <f>_xlfn.IFNA(VLOOKUP(RIGHT(VLOOKUP(TRIM('DL 1'!G92),Data!$A:$B,2,0),1),Data!$L$23:$M$30,2,0),0)</f>
        <v>0</v>
      </c>
      <c r="P91">
        <f t="shared" si="20"/>
        <v>0</v>
      </c>
      <c r="Q91" s="7" t="b">
        <f t="shared" si="11"/>
        <v>0</v>
      </c>
      <c r="R91" s="27">
        <f>INCENTIVE!$E$8</f>
        <v>130000000</v>
      </c>
      <c r="S91">
        <f>'DL 1'!D92</f>
        <v>0</v>
      </c>
      <c r="T91" t="str">
        <f t="shared" si="12"/>
        <v>1</v>
      </c>
      <c r="V91" t="str">
        <f t="shared" si="13"/>
        <v>1</v>
      </c>
      <c r="W91">
        <f t="shared" si="14"/>
        <v>0.25</v>
      </c>
      <c r="X91" s="7">
        <f>'DL 1'!E92</f>
        <v>0</v>
      </c>
      <c r="Y91" s="69">
        <f>'DL 1'!G92</f>
        <v>0</v>
      </c>
      <c r="AC91" t="str">
        <f>IFERROR(VLOOKUP(Y91,Data!$G$65:$L$69,2,0) *X91,"")</f>
        <v/>
      </c>
      <c r="AD91" s="7">
        <f t="shared" si="15"/>
        <v>0</v>
      </c>
      <c r="AE91">
        <f>'DL 1'!F92</f>
        <v>0</v>
      </c>
      <c r="AF91" t="str">
        <f>IFERROR(VLOOKUP(Y91,Data!$G$65:$K$79,4,0),"")</f>
        <v/>
      </c>
      <c r="AG91" s="51" t="e">
        <f>#REF!</f>
        <v>#REF!</v>
      </c>
      <c r="AK91">
        <f t="shared" si="16"/>
        <v>0</v>
      </c>
      <c r="AL91">
        <f t="shared" si="17"/>
        <v>0</v>
      </c>
      <c r="AM91" s="70">
        <f t="shared" si="18"/>
        <v>0</v>
      </c>
      <c r="AN91" s="7" t="b">
        <f t="shared" si="19"/>
        <v>0</v>
      </c>
    </row>
    <row r="92" spans="1:40" x14ac:dyDescent="0.3">
      <c r="A92" s="50">
        <f>IF(D92="A",_xlfn.IFNA(INDEX(Data!$H$24:$J$28,MATCH('DL 1'!E93,Data!$G$24:$G$28,1),MATCH('DL 1'!D93,Data!$H$23:$J$23,1)),0),0)</f>
        <v>0</v>
      </c>
      <c r="B92">
        <f>IF('DL 1'!F93="Y",Q92,0)</f>
        <v>0</v>
      </c>
      <c r="C92" t="e">
        <f>_xlfn.IFNA(INDEX(Data!$H$24:$J$28,MATCH(#REF!,Data!$G$24:$G$28,1),MATCH(#REF!,Data!$H$23:$J$23,1)),0)</f>
        <v>#REF!</v>
      </c>
      <c r="D92" t="str">
        <f>RIGHT(TRIM('DL 1'!G93),1)</f>
        <v/>
      </c>
      <c r="E92" s="8">
        <f>'DL 1'!E93*'DL 1'!D93</f>
        <v>0</v>
      </c>
      <c r="F92" t="str">
        <f>_xlfn.IFNA(VLOOKUP(TRIM('DL 1'!G93),Data!$A:$C,3,0),"")</f>
        <v/>
      </c>
      <c r="G92" s="7">
        <f>'DL 1'!E93</f>
        <v>0</v>
      </c>
      <c r="H92" s="21">
        <f>_xlfn.IFNA(VLOOKUP(TRIM('DL 1'!G93),Data!$A:$D,4,0),0)</f>
        <v>0</v>
      </c>
      <c r="I92">
        <f>_xlfn.IFNA(INDEX(Data!$G$5:$K$10,MATCH('DL 1'!D93,Data!$F$5:$F$10,1),MATCH(_xlfn.SINGLE(#REF!),Data!$G$4:$K$4,1)),0)</f>
        <v>0</v>
      </c>
      <c r="J92">
        <f>_xlfn.IFNA(IF(VLOOKUP(TRIM('DL 1'!G93),Data!$A:$C,3,0)="ST1",H92*I92*G92,IF(VLOOKUP(TRIM('DL 1'!G93),Data!$A:$C,3,0)="IR0",H92*G92,MIN(H92:I92)*G92)),0)</f>
        <v>0</v>
      </c>
      <c r="K92" t="e">
        <f>_xlfn.IFNA(VLOOKUP(TRIM(#REF!),Data!$A:$D,4,0)*#REF!,0)</f>
        <v>#REF!</v>
      </c>
      <c r="L92">
        <f>IF(TRIM('DL 1'!G93)="EDCLNHT0IRNLI",20000,0)</f>
        <v>0</v>
      </c>
      <c r="M92">
        <f>IF(ISERROR(MATCH('DL 1'!A93,#REF!,0)),0,J92*2)</f>
        <v>0</v>
      </c>
      <c r="N92" t="e">
        <f>#REF!</f>
        <v>#REF!</v>
      </c>
      <c r="O92">
        <f>_xlfn.IFNA(VLOOKUP(RIGHT(VLOOKUP(TRIM('DL 1'!G93),Data!$A:$B,2,0),1),Data!$L$23:$M$30,2,0),0)</f>
        <v>0</v>
      </c>
      <c r="P92">
        <f t="shared" si="20"/>
        <v>0</v>
      </c>
      <c r="Q92" s="7" t="b">
        <f t="shared" si="11"/>
        <v>0</v>
      </c>
      <c r="R92" s="27">
        <f>INCENTIVE!$E$8</f>
        <v>130000000</v>
      </c>
      <c r="S92">
        <f>'DL 1'!D93</f>
        <v>0</v>
      </c>
      <c r="T92" t="str">
        <f t="shared" si="12"/>
        <v>1</v>
      </c>
      <c r="V92" t="str">
        <f t="shared" si="13"/>
        <v>1</v>
      </c>
      <c r="W92">
        <f t="shared" si="14"/>
        <v>0.25</v>
      </c>
      <c r="X92" s="7">
        <f>'DL 1'!E93</f>
        <v>0</v>
      </c>
      <c r="Y92" s="69">
        <f>'DL 1'!G93</f>
        <v>0</v>
      </c>
      <c r="AC92" t="str">
        <f>IFERROR(VLOOKUP(Y92,Data!$G$65:$L$69,2,0) *X92,"")</f>
        <v/>
      </c>
      <c r="AD92" s="7">
        <f t="shared" si="15"/>
        <v>0</v>
      </c>
      <c r="AE92">
        <f>'DL 1'!F93</f>
        <v>0</v>
      </c>
      <c r="AF92" t="str">
        <f>IFERROR(VLOOKUP(Y92,Data!$G$65:$K$79,4,0),"")</f>
        <v/>
      </c>
      <c r="AG92" s="51" t="e">
        <f>#REF!</f>
        <v>#REF!</v>
      </c>
      <c r="AK92">
        <f t="shared" si="16"/>
        <v>0</v>
      </c>
      <c r="AL92">
        <f t="shared" si="17"/>
        <v>0</v>
      </c>
      <c r="AM92" s="70">
        <f t="shared" si="18"/>
        <v>0</v>
      </c>
      <c r="AN92" s="7" t="b">
        <f t="shared" si="19"/>
        <v>0</v>
      </c>
    </row>
    <row r="93" spans="1:40" x14ac:dyDescent="0.3">
      <c r="A93" s="50">
        <f>IF(D93="A",_xlfn.IFNA(INDEX(Data!$H$24:$J$28,MATCH('DL 1'!E94,Data!$G$24:$G$28,1),MATCH('DL 1'!D94,Data!$H$23:$J$23,1)),0),0)</f>
        <v>0</v>
      </c>
      <c r="B93">
        <f>IF('DL 1'!F94="Y",Q93,0)</f>
        <v>0</v>
      </c>
      <c r="C93" t="e">
        <f>_xlfn.IFNA(INDEX(Data!$H$24:$J$28,MATCH(#REF!,Data!$G$24:$G$28,1),MATCH(#REF!,Data!$H$23:$J$23,1)),0)</f>
        <v>#REF!</v>
      </c>
      <c r="D93" t="str">
        <f>RIGHT(TRIM('DL 1'!G94),1)</f>
        <v/>
      </c>
      <c r="E93" s="8">
        <f>'DL 1'!E94*'DL 1'!D94</f>
        <v>0</v>
      </c>
      <c r="F93" t="str">
        <f>_xlfn.IFNA(VLOOKUP(TRIM('DL 1'!G94),Data!$A:$C,3,0),"")</f>
        <v/>
      </c>
      <c r="G93" s="7">
        <f>'DL 1'!E94</f>
        <v>0</v>
      </c>
      <c r="H93" s="21">
        <f>_xlfn.IFNA(VLOOKUP(TRIM('DL 1'!G94),Data!$A:$D,4,0),0)</f>
        <v>0</v>
      </c>
      <c r="I93">
        <f>_xlfn.IFNA(INDEX(Data!$G$5:$K$10,MATCH('DL 1'!D94,Data!$F$5:$F$10,1),MATCH(_xlfn.SINGLE(#REF!),Data!$G$4:$K$4,1)),0)</f>
        <v>0</v>
      </c>
      <c r="J93">
        <f>_xlfn.IFNA(IF(VLOOKUP(TRIM('DL 1'!G94),Data!$A:$C,3,0)="ST1",H93*I93*G93,IF(VLOOKUP(TRIM('DL 1'!G94),Data!$A:$C,3,0)="IR0",H93*G93,MIN(H93:I93)*G93)),0)</f>
        <v>0</v>
      </c>
      <c r="K93" t="e">
        <f>_xlfn.IFNA(VLOOKUP(TRIM(#REF!),Data!$A:$D,4,0)*#REF!,0)</f>
        <v>#REF!</v>
      </c>
      <c r="L93">
        <f>IF(TRIM('DL 1'!G94)="EDCLNHT0IRNLI",20000,0)</f>
        <v>0</v>
      </c>
      <c r="M93">
        <f>IF(ISERROR(MATCH('DL 1'!A94,#REF!,0)),0,J93*2)</f>
        <v>0</v>
      </c>
      <c r="N93" t="e">
        <f>#REF!</f>
        <v>#REF!</v>
      </c>
      <c r="O93">
        <f>_xlfn.IFNA(VLOOKUP(RIGHT(VLOOKUP(TRIM('DL 1'!G94),Data!$A:$B,2,0),1),Data!$L$23:$M$30,2,0),0)</f>
        <v>0</v>
      </c>
      <c r="P93">
        <f t="shared" si="20"/>
        <v>0</v>
      </c>
      <c r="Q93" s="7" t="b">
        <f t="shared" si="11"/>
        <v>0</v>
      </c>
      <c r="R93" s="27">
        <f>INCENTIVE!$E$8</f>
        <v>130000000</v>
      </c>
      <c r="S93">
        <f>'DL 1'!D94</f>
        <v>0</v>
      </c>
      <c r="T93" t="str">
        <f t="shared" si="12"/>
        <v>1</v>
      </c>
      <c r="V93" t="str">
        <f t="shared" si="13"/>
        <v>1</v>
      </c>
      <c r="W93">
        <f t="shared" si="14"/>
        <v>0.25</v>
      </c>
      <c r="X93" s="7">
        <f>'DL 1'!E94</f>
        <v>0</v>
      </c>
      <c r="Y93" s="69">
        <f>'DL 1'!G94</f>
        <v>0</v>
      </c>
      <c r="AC93" t="str">
        <f>IFERROR(VLOOKUP(Y93,Data!$G$65:$L$69,2,0) *X93,"")</f>
        <v/>
      </c>
      <c r="AD93" s="7">
        <f t="shared" si="15"/>
        <v>0</v>
      </c>
      <c r="AE93">
        <f>'DL 1'!F94</f>
        <v>0</v>
      </c>
      <c r="AF93" t="str">
        <f>IFERROR(VLOOKUP(Y93,Data!$G$65:$K$79,4,0),"")</f>
        <v/>
      </c>
      <c r="AG93" s="51" t="e">
        <f>#REF!</f>
        <v>#REF!</v>
      </c>
      <c r="AK93">
        <f t="shared" si="16"/>
        <v>0</v>
      </c>
      <c r="AL93">
        <f t="shared" si="17"/>
        <v>0</v>
      </c>
      <c r="AM93" s="70">
        <f t="shared" si="18"/>
        <v>0</v>
      </c>
      <c r="AN93" s="7" t="b">
        <f t="shared" si="19"/>
        <v>0</v>
      </c>
    </row>
    <row r="94" spans="1:40" x14ac:dyDescent="0.3">
      <c r="A94" s="50">
        <f>IF(D94="A",_xlfn.IFNA(INDEX(Data!$H$24:$J$28,MATCH('DL 1'!E95,Data!$G$24:$G$28,1),MATCH('DL 1'!D95,Data!$H$23:$J$23,1)),0),0)</f>
        <v>0</v>
      </c>
      <c r="B94">
        <f>IF('DL 1'!F95="Y",Q94,0)</f>
        <v>0</v>
      </c>
      <c r="C94" t="e">
        <f>_xlfn.IFNA(INDEX(Data!$H$24:$J$28,MATCH(#REF!,Data!$G$24:$G$28,1),MATCH(#REF!,Data!$H$23:$J$23,1)),0)</f>
        <v>#REF!</v>
      </c>
      <c r="D94" t="str">
        <f>RIGHT(TRIM('DL 1'!G95),1)</f>
        <v/>
      </c>
      <c r="E94" s="8">
        <f>'DL 1'!E95*'DL 1'!D95</f>
        <v>0</v>
      </c>
      <c r="F94" t="str">
        <f>_xlfn.IFNA(VLOOKUP(TRIM('DL 1'!G95),Data!$A:$C,3,0),"")</f>
        <v/>
      </c>
      <c r="G94" s="7">
        <f>'DL 1'!E95</f>
        <v>0</v>
      </c>
      <c r="H94" s="21">
        <f>_xlfn.IFNA(VLOOKUP(TRIM('DL 1'!G95),Data!$A:$D,4,0),0)</f>
        <v>0</v>
      </c>
      <c r="I94">
        <f>_xlfn.IFNA(INDEX(Data!$G$5:$K$10,MATCH('DL 1'!D95,Data!$F$5:$F$10,1),MATCH(_xlfn.SINGLE(#REF!),Data!$G$4:$K$4,1)),0)</f>
        <v>0</v>
      </c>
      <c r="J94">
        <f>_xlfn.IFNA(IF(VLOOKUP(TRIM('DL 1'!G95),Data!$A:$C,3,0)="ST1",H94*I94*G94,IF(VLOOKUP(TRIM('DL 1'!G95),Data!$A:$C,3,0)="IR0",H94*G94,MIN(H94:I94)*G94)),0)</f>
        <v>0</v>
      </c>
      <c r="K94" t="e">
        <f>_xlfn.IFNA(VLOOKUP(TRIM(#REF!),Data!$A:$D,4,0)*#REF!,0)</f>
        <v>#REF!</v>
      </c>
      <c r="L94">
        <f>IF(TRIM('DL 1'!G95)="EDCLNHT0IRNLI",20000,0)</f>
        <v>0</v>
      </c>
      <c r="M94">
        <f>IF(ISERROR(MATCH('DL 1'!A95,#REF!,0)),0,J94*2)</f>
        <v>0</v>
      </c>
      <c r="N94" t="e">
        <f>#REF!</f>
        <v>#REF!</v>
      </c>
      <c r="O94">
        <f>_xlfn.IFNA(VLOOKUP(RIGHT(VLOOKUP(TRIM('DL 1'!G95),Data!$A:$B,2,0),1),Data!$L$23:$M$30,2,0),0)</f>
        <v>0</v>
      </c>
      <c r="P94">
        <f t="shared" si="20"/>
        <v>0</v>
      </c>
      <c r="Q94" s="7" t="b">
        <f t="shared" si="11"/>
        <v>0</v>
      </c>
      <c r="R94" s="27">
        <f>INCENTIVE!$E$8</f>
        <v>130000000</v>
      </c>
      <c r="S94">
        <f>'DL 1'!D95</f>
        <v>0</v>
      </c>
      <c r="T94" t="str">
        <f t="shared" si="12"/>
        <v>1</v>
      </c>
      <c r="V94" t="str">
        <f t="shared" si="13"/>
        <v>1</v>
      </c>
      <c r="W94">
        <f t="shared" si="14"/>
        <v>0.25</v>
      </c>
      <c r="X94" s="7">
        <f>'DL 1'!E95</f>
        <v>0</v>
      </c>
      <c r="Y94" s="69">
        <f>'DL 1'!G95</f>
        <v>0</v>
      </c>
      <c r="AC94" t="str">
        <f>IFERROR(VLOOKUP(Y94,Data!$G$65:$L$69,2,0) *X94,"")</f>
        <v/>
      </c>
      <c r="AD94" s="7">
        <f t="shared" si="15"/>
        <v>0</v>
      </c>
      <c r="AE94">
        <f>'DL 1'!F95</f>
        <v>0</v>
      </c>
      <c r="AF94" t="str">
        <f>IFERROR(VLOOKUP(Y94,Data!$G$65:$K$79,4,0),"")</f>
        <v/>
      </c>
      <c r="AG94" s="51" t="e">
        <f>#REF!</f>
        <v>#REF!</v>
      </c>
      <c r="AK94">
        <f t="shared" si="16"/>
        <v>0</v>
      </c>
      <c r="AL94">
        <f t="shared" si="17"/>
        <v>0</v>
      </c>
      <c r="AM94" s="70">
        <f t="shared" si="18"/>
        <v>0</v>
      </c>
      <c r="AN94" s="7" t="b">
        <f t="shared" si="19"/>
        <v>0</v>
      </c>
    </row>
    <row r="95" spans="1:40" x14ac:dyDescent="0.3">
      <c r="A95" s="50">
        <f>IF(D95="A",_xlfn.IFNA(INDEX(Data!$H$24:$J$28,MATCH('DL 1'!E96,Data!$G$24:$G$28,1),MATCH('DL 1'!D96,Data!$H$23:$J$23,1)),0),0)</f>
        <v>0</v>
      </c>
      <c r="B95">
        <f>IF('DL 1'!F96="Y",Q95,0)</f>
        <v>0</v>
      </c>
      <c r="C95" t="e">
        <f>_xlfn.IFNA(INDEX(Data!$H$24:$J$28,MATCH(#REF!,Data!$G$24:$G$28,1),MATCH(#REF!,Data!$H$23:$J$23,1)),0)</f>
        <v>#REF!</v>
      </c>
      <c r="D95" t="str">
        <f>RIGHT(TRIM('DL 1'!G96),1)</f>
        <v/>
      </c>
      <c r="E95" s="8">
        <f>'DL 1'!E96*'DL 1'!D96</f>
        <v>0</v>
      </c>
      <c r="F95" t="str">
        <f>_xlfn.IFNA(VLOOKUP(TRIM('DL 1'!G96),Data!$A:$C,3,0),"")</f>
        <v/>
      </c>
      <c r="G95" s="7">
        <f>'DL 1'!E96</f>
        <v>0</v>
      </c>
      <c r="H95" s="21">
        <f>_xlfn.IFNA(VLOOKUP(TRIM('DL 1'!G96),Data!$A:$D,4,0),0)</f>
        <v>0</v>
      </c>
      <c r="I95">
        <f>_xlfn.IFNA(INDEX(Data!$G$5:$K$10,MATCH('DL 1'!D96,Data!$F$5:$F$10,1),MATCH(_xlfn.SINGLE(#REF!),Data!$G$4:$K$4,1)),0)</f>
        <v>0</v>
      </c>
      <c r="J95">
        <f>_xlfn.IFNA(IF(VLOOKUP(TRIM('DL 1'!G96),Data!$A:$C,3,0)="ST1",H95*I95*G95,IF(VLOOKUP(TRIM('DL 1'!G96),Data!$A:$C,3,0)="IR0",H95*G95,MIN(H95:I95)*G95)),0)</f>
        <v>0</v>
      </c>
      <c r="K95" t="e">
        <f>_xlfn.IFNA(VLOOKUP(TRIM(#REF!),Data!$A:$D,4,0)*#REF!,0)</f>
        <v>#REF!</v>
      </c>
      <c r="L95">
        <f>IF(TRIM('DL 1'!G96)="EDCLNHT0IRNLI",20000,0)</f>
        <v>0</v>
      </c>
      <c r="M95">
        <f>IF(ISERROR(MATCH('DL 1'!A96,#REF!,0)),0,J95*2)</f>
        <v>0</v>
      </c>
      <c r="N95" t="e">
        <f>#REF!</f>
        <v>#REF!</v>
      </c>
      <c r="O95">
        <f>_xlfn.IFNA(VLOOKUP(RIGHT(VLOOKUP(TRIM('DL 1'!G96),Data!$A:$B,2,0),1),Data!$L$23:$M$30,2,0),0)</f>
        <v>0</v>
      </c>
      <c r="P95">
        <f t="shared" si="20"/>
        <v>0</v>
      </c>
      <c r="Q95" s="7" t="b">
        <f t="shared" si="11"/>
        <v>0</v>
      </c>
      <c r="R95" s="27">
        <f>INCENTIVE!$E$8</f>
        <v>130000000</v>
      </c>
      <c r="S95">
        <f>'DL 1'!D96</f>
        <v>0</v>
      </c>
      <c r="T95" t="str">
        <f t="shared" si="12"/>
        <v>1</v>
      </c>
      <c r="V95" t="str">
        <f t="shared" si="13"/>
        <v>1</v>
      </c>
      <c r="W95">
        <f t="shared" si="14"/>
        <v>0.25</v>
      </c>
      <c r="X95" s="7">
        <f>'DL 1'!E96</f>
        <v>0</v>
      </c>
      <c r="Y95" s="69">
        <f>'DL 1'!G96</f>
        <v>0</v>
      </c>
      <c r="AC95" t="str">
        <f>IFERROR(VLOOKUP(Y95,Data!$G$65:$L$69,2,0) *X95,"")</f>
        <v/>
      </c>
      <c r="AD95" s="7">
        <f t="shared" si="15"/>
        <v>0</v>
      </c>
      <c r="AE95">
        <f>'DL 1'!F96</f>
        <v>0</v>
      </c>
      <c r="AF95" t="str">
        <f>IFERROR(VLOOKUP(Y95,Data!$G$65:$K$79,4,0),"")</f>
        <v/>
      </c>
      <c r="AG95" s="51" t="e">
        <f>#REF!</f>
        <v>#REF!</v>
      </c>
      <c r="AK95">
        <f t="shared" si="16"/>
        <v>0</v>
      </c>
      <c r="AL95">
        <f t="shared" si="17"/>
        <v>0</v>
      </c>
      <c r="AM95" s="70">
        <f t="shared" si="18"/>
        <v>0</v>
      </c>
      <c r="AN95" s="7" t="b">
        <f t="shared" si="19"/>
        <v>0</v>
      </c>
    </row>
    <row r="96" spans="1:40" x14ac:dyDescent="0.3">
      <c r="A96" s="50">
        <f>IF(D96="A",_xlfn.IFNA(INDEX(Data!$H$24:$J$28,MATCH('DL 1'!E97,Data!$G$24:$G$28,1),MATCH('DL 1'!D97,Data!$H$23:$J$23,1)),0),0)</f>
        <v>0</v>
      </c>
      <c r="B96">
        <f>IF('DL 1'!F97="Y",Q96,0)</f>
        <v>0</v>
      </c>
      <c r="C96" t="e">
        <f>_xlfn.IFNA(INDEX(Data!$H$24:$J$28,MATCH(#REF!,Data!$G$24:$G$28,1),MATCH(#REF!,Data!$H$23:$J$23,1)),0)</f>
        <v>#REF!</v>
      </c>
      <c r="D96" t="str">
        <f>RIGHT(TRIM('DL 1'!G97),1)</f>
        <v/>
      </c>
      <c r="E96" s="8">
        <f>'DL 1'!E97*'DL 1'!D97</f>
        <v>0</v>
      </c>
      <c r="F96" t="str">
        <f>_xlfn.IFNA(VLOOKUP(TRIM('DL 1'!G97),Data!$A:$C,3,0),"")</f>
        <v/>
      </c>
      <c r="G96" s="7">
        <f>'DL 1'!E97</f>
        <v>0</v>
      </c>
      <c r="H96" s="21">
        <f>_xlfn.IFNA(VLOOKUP(TRIM('DL 1'!G97),Data!$A:$D,4,0),0)</f>
        <v>0</v>
      </c>
      <c r="I96">
        <f>_xlfn.IFNA(INDEX(Data!$G$5:$K$10,MATCH('DL 1'!D97,Data!$F$5:$F$10,1),MATCH(_xlfn.SINGLE(#REF!),Data!$G$4:$K$4,1)),0)</f>
        <v>0</v>
      </c>
      <c r="J96">
        <f>_xlfn.IFNA(IF(VLOOKUP(TRIM('DL 1'!G97),Data!$A:$C,3,0)="ST1",H96*I96*G96,IF(VLOOKUP(TRIM('DL 1'!G97),Data!$A:$C,3,0)="IR0",H96*G96,MIN(H96:I96)*G96)),0)</f>
        <v>0</v>
      </c>
      <c r="K96" t="e">
        <f>_xlfn.IFNA(VLOOKUP(TRIM(#REF!),Data!$A:$D,4,0)*#REF!,0)</f>
        <v>#REF!</v>
      </c>
      <c r="L96">
        <f>IF(TRIM('DL 1'!G97)="EDCLNHT0IRNLI",20000,0)</f>
        <v>0</v>
      </c>
      <c r="M96">
        <f>IF(ISERROR(MATCH('DL 1'!A97,#REF!,0)),0,J96*2)</f>
        <v>0</v>
      </c>
      <c r="N96" t="e">
        <f>#REF!</f>
        <v>#REF!</v>
      </c>
      <c r="O96">
        <f>_xlfn.IFNA(VLOOKUP(RIGHT(VLOOKUP(TRIM('DL 1'!G97),Data!$A:$B,2,0),1),Data!$L$23:$M$30,2,0),0)</f>
        <v>0</v>
      </c>
      <c r="P96">
        <f t="shared" si="20"/>
        <v>0</v>
      </c>
      <c r="Q96" s="7" t="b">
        <f t="shared" si="11"/>
        <v>0</v>
      </c>
      <c r="R96" s="27">
        <f>INCENTIVE!$E$8</f>
        <v>130000000</v>
      </c>
      <c r="S96">
        <f>'DL 1'!D97</f>
        <v>0</v>
      </c>
      <c r="T96" t="str">
        <f t="shared" si="12"/>
        <v>1</v>
      </c>
      <c r="V96" t="str">
        <f t="shared" si="13"/>
        <v>1</v>
      </c>
      <c r="W96">
        <f t="shared" si="14"/>
        <v>0.25</v>
      </c>
      <c r="X96" s="7">
        <f>'DL 1'!E97</f>
        <v>0</v>
      </c>
      <c r="Y96" s="69">
        <f>'DL 1'!G97</f>
        <v>0</v>
      </c>
      <c r="AC96" t="str">
        <f>IFERROR(VLOOKUP(Y96,Data!$G$65:$L$69,2,0) *X96,"")</f>
        <v/>
      </c>
      <c r="AD96" s="7">
        <f t="shared" si="15"/>
        <v>0</v>
      </c>
      <c r="AE96">
        <f>'DL 1'!F97</f>
        <v>0</v>
      </c>
      <c r="AF96" t="str">
        <f>IFERROR(VLOOKUP(Y96,Data!$G$65:$K$79,4,0),"")</f>
        <v/>
      </c>
      <c r="AG96" s="51" t="e">
        <f>#REF!</f>
        <v>#REF!</v>
      </c>
      <c r="AK96">
        <f t="shared" si="16"/>
        <v>0</v>
      </c>
      <c r="AL96">
        <f t="shared" si="17"/>
        <v>0</v>
      </c>
      <c r="AM96" s="70">
        <f t="shared" si="18"/>
        <v>0</v>
      </c>
      <c r="AN96" s="7" t="b">
        <f t="shared" si="19"/>
        <v>0</v>
      </c>
    </row>
    <row r="97" spans="1:40" x14ac:dyDescent="0.3">
      <c r="A97" s="50">
        <f>IF(D97="A",_xlfn.IFNA(INDEX(Data!$H$24:$J$28,MATCH('DL 1'!E98,Data!$G$24:$G$28,1),MATCH('DL 1'!D98,Data!$H$23:$J$23,1)),0),0)</f>
        <v>0</v>
      </c>
      <c r="B97">
        <f>IF('DL 1'!F98="Y",Q97,0)</f>
        <v>0</v>
      </c>
      <c r="C97" t="e">
        <f>_xlfn.IFNA(INDEX(Data!$H$24:$J$28,MATCH(#REF!,Data!$G$24:$G$28,1),MATCH(#REF!,Data!$H$23:$J$23,1)),0)</f>
        <v>#REF!</v>
      </c>
      <c r="D97" t="str">
        <f>RIGHT(TRIM('DL 1'!G98),1)</f>
        <v/>
      </c>
      <c r="E97" s="8">
        <f>'DL 1'!E98*'DL 1'!D98</f>
        <v>0</v>
      </c>
      <c r="F97" t="str">
        <f>_xlfn.IFNA(VLOOKUP(TRIM('DL 1'!G98),Data!$A:$C,3,0),"")</f>
        <v/>
      </c>
      <c r="G97" s="7">
        <f>'DL 1'!E98</f>
        <v>0</v>
      </c>
      <c r="H97" s="21">
        <f>_xlfn.IFNA(VLOOKUP(TRIM('DL 1'!G98),Data!$A:$D,4,0),0)</f>
        <v>0</v>
      </c>
      <c r="I97">
        <f>_xlfn.IFNA(INDEX(Data!$G$5:$K$10,MATCH('DL 1'!D98,Data!$F$5:$F$10,1),MATCH(_xlfn.SINGLE(#REF!),Data!$G$4:$K$4,1)),0)</f>
        <v>0</v>
      </c>
      <c r="J97">
        <f>_xlfn.IFNA(IF(VLOOKUP(TRIM('DL 1'!G98),Data!$A:$C,3,0)="ST1",H97*I97*G97,IF(VLOOKUP(TRIM('DL 1'!G98),Data!$A:$C,3,0)="IR0",H97*G97,MIN(H97:I97)*G97)),0)</f>
        <v>0</v>
      </c>
      <c r="K97" t="e">
        <f>_xlfn.IFNA(VLOOKUP(TRIM(#REF!),Data!$A:$D,4,0)*#REF!,0)</f>
        <v>#REF!</v>
      </c>
      <c r="L97">
        <f>IF(TRIM('DL 1'!G98)="EDCLNHT0IRNLI",20000,0)</f>
        <v>0</v>
      </c>
      <c r="M97">
        <f>IF(ISERROR(MATCH('DL 1'!A98,#REF!,0)),0,J97*2)</f>
        <v>0</v>
      </c>
      <c r="N97" t="e">
        <f>#REF!</f>
        <v>#REF!</v>
      </c>
      <c r="O97">
        <f>_xlfn.IFNA(VLOOKUP(RIGHT(VLOOKUP(TRIM('DL 1'!G98),Data!$A:$B,2,0),1),Data!$L$23:$M$30,2,0),0)</f>
        <v>0</v>
      </c>
      <c r="P97">
        <f t="shared" si="20"/>
        <v>0</v>
      </c>
      <c r="Q97" s="7" t="b">
        <f t="shared" si="11"/>
        <v>0</v>
      </c>
      <c r="R97" s="27">
        <f>INCENTIVE!$E$8</f>
        <v>130000000</v>
      </c>
      <c r="S97">
        <f>'DL 1'!D98</f>
        <v>0</v>
      </c>
      <c r="T97" t="str">
        <f t="shared" si="12"/>
        <v>1</v>
      </c>
      <c r="V97" t="str">
        <f t="shared" si="13"/>
        <v>1</v>
      </c>
      <c r="W97">
        <f t="shared" si="14"/>
        <v>0.25</v>
      </c>
      <c r="X97" s="7">
        <f>'DL 1'!E98</f>
        <v>0</v>
      </c>
      <c r="Y97" s="69">
        <f>'DL 1'!G98</f>
        <v>0</v>
      </c>
      <c r="AC97" t="str">
        <f>IFERROR(VLOOKUP(Y97,Data!$G$65:$L$69,2,0) *X97,"")</f>
        <v/>
      </c>
      <c r="AD97" s="7">
        <f t="shared" si="15"/>
        <v>0</v>
      </c>
      <c r="AE97">
        <f>'DL 1'!F98</f>
        <v>0</v>
      </c>
      <c r="AF97" t="str">
        <f>IFERROR(VLOOKUP(Y97,Data!$G$65:$K$79,4,0),"")</f>
        <v/>
      </c>
      <c r="AG97" s="51" t="e">
        <f>#REF!</f>
        <v>#REF!</v>
      </c>
      <c r="AK97">
        <f t="shared" si="16"/>
        <v>0</v>
      </c>
      <c r="AL97">
        <f t="shared" si="17"/>
        <v>0</v>
      </c>
      <c r="AM97" s="70">
        <f t="shared" si="18"/>
        <v>0</v>
      </c>
      <c r="AN97" s="7" t="b">
        <f t="shared" si="19"/>
        <v>0</v>
      </c>
    </row>
    <row r="98" spans="1:40" x14ac:dyDescent="0.3">
      <c r="A98" s="50">
        <f>IF(D98="A",_xlfn.IFNA(INDEX(Data!$H$24:$J$28,MATCH('DL 1'!E99,Data!$G$24:$G$28,1),MATCH('DL 1'!D99,Data!$H$23:$J$23,1)),0),0)</f>
        <v>0</v>
      </c>
      <c r="B98">
        <f>IF('DL 1'!F99="Y",Q98,0)</f>
        <v>0</v>
      </c>
      <c r="C98" t="e">
        <f>_xlfn.IFNA(INDEX(Data!$H$24:$J$28,MATCH(#REF!,Data!$G$24:$G$28,1),MATCH(#REF!,Data!$H$23:$J$23,1)),0)</f>
        <v>#REF!</v>
      </c>
      <c r="D98" t="str">
        <f>RIGHT(TRIM('DL 1'!G99),1)</f>
        <v/>
      </c>
      <c r="E98" s="8">
        <f>'DL 1'!E99*'DL 1'!D99</f>
        <v>0</v>
      </c>
      <c r="F98" t="str">
        <f>_xlfn.IFNA(VLOOKUP(TRIM('DL 1'!G99),Data!$A:$C,3,0),"")</f>
        <v/>
      </c>
      <c r="G98" s="7">
        <f>'DL 1'!E99</f>
        <v>0</v>
      </c>
      <c r="H98" s="21">
        <f>_xlfn.IFNA(VLOOKUP(TRIM('DL 1'!G99),Data!$A:$D,4,0),0)</f>
        <v>0</v>
      </c>
      <c r="I98">
        <f>_xlfn.IFNA(INDEX(Data!$G$5:$K$10,MATCH('DL 1'!D99,Data!$F$5:$F$10,1),MATCH(_xlfn.SINGLE(#REF!),Data!$G$4:$K$4,1)),0)</f>
        <v>0</v>
      </c>
      <c r="J98">
        <f>_xlfn.IFNA(IF(VLOOKUP(TRIM('DL 1'!G99),Data!$A:$C,3,0)="ST1",H98*I98*G98,IF(VLOOKUP(TRIM('DL 1'!G99),Data!$A:$C,3,0)="IR0",H98*G98,MIN(H98:I98)*G98)),0)</f>
        <v>0</v>
      </c>
      <c r="K98" t="e">
        <f>_xlfn.IFNA(VLOOKUP(TRIM(#REF!),Data!$A:$D,4,0)*#REF!,0)</f>
        <v>#REF!</v>
      </c>
      <c r="L98">
        <f>IF(TRIM('DL 1'!G99)="EDCLNHT0IRNLI",20000,0)</f>
        <v>0</v>
      </c>
      <c r="M98">
        <f>IF(ISERROR(MATCH('DL 1'!A99,#REF!,0)),0,J98*2)</f>
        <v>0</v>
      </c>
      <c r="N98" t="e">
        <f>#REF!</f>
        <v>#REF!</v>
      </c>
      <c r="O98">
        <f>_xlfn.IFNA(VLOOKUP(RIGHT(VLOOKUP(TRIM('DL 1'!G99),Data!$A:$B,2,0),1),Data!$L$23:$M$30,2,0),0)</f>
        <v>0</v>
      </c>
      <c r="P98">
        <f t="shared" si="20"/>
        <v>0</v>
      </c>
      <c r="Q98" s="7" t="b">
        <f t="shared" si="11"/>
        <v>0</v>
      </c>
      <c r="R98" s="27">
        <f>INCENTIVE!$E$8</f>
        <v>130000000</v>
      </c>
      <c r="S98">
        <f>'DL 1'!D99</f>
        <v>0</v>
      </c>
      <c r="T98" t="str">
        <f t="shared" si="12"/>
        <v>1</v>
      </c>
      <c r="V98" t="str">
        <f t="shared" si="13"/>
        <v>1</v>
      </c>
      <c r="W98">
        <f t="shared" si="14"/>
        <v>0.25</v>
      </c>
      <c r="X98" s="7">
        <f>'DL 1'!E99</f>
        <v>0</v>
      </c>
      <c r="Y98" s="69">
        <f>'DL 1'!G99</f>
        <v>0</v>
      </c>
      <c r="AC98" t="str">
        <f>IFERROR(VLOOKUP(Y98,Data!$G$65:$L$69,2,0) *X98,"")</f>
        <v/>
      </c>
      <c r="AD98" s="7">
        <f t="shared" si="15"/>
        <v>0</v>
      </c>
      <c r="AE98">
        <f>'DL 1'!F99</f>
        <v>0</v>
      </c>
      <c r="AF98" t="str">
        <f>IFERROR(VLOOKUP(Y98,Data!$G$65:$K$79,4,0),"")</f>
        <v/>
      </c>
      <c r="AG98" s="51" t="e">
        <f>#REF!</f>
        <v>#REF!</v>
      </c>
      <c r="AK98">
        <f t="shared" si="16"/>
        <v>0</v>
      </c>
      <c r="AL98">
        <f t="shared" si="17"/>
        <v>0</v>
      </c>
      <c r="AM98" s="70">
        <f t="shared" si="18"/>
        <v>0</v>
      </c>
      <c r="AN98" s="7" t="b">
        <f t="shared" si="19"/>
        <v>0</v>
      </c>
    </row>
    <row r="99" spans="1:40" x14ac:dyDescent="0.3">
      <c r="A99" s="50">
        <f>IF(D99="A",_xlfn.IFNA(INDEX(Data!$H$24:$J$28,MATCH('DL 1'!E100,Data!$G$24:$G$28,1),MATCH('DL 1'!D100,Data!$H$23:$J$23,1)),0),0)</f>
        <v>0</v>
      </c>
      <c r="B99">
        <f>IF('DL 1'!F100="Y",Q99,0)</f>
        <v>0</v>
      </c>
      <c r="C99" t="e">
        <f>_xlfn.IFNA(INDEX(Data!$H$24:$J$28,MATCH(#REF!,Data!$G$24:$G$28,1),MATCH(#REF!,Data!$H$23:$J$23,1)),0)</f>
        <v>#REF!</v>
      </c>
      <c r="D99" t="str">
        <f>RIGHT(TRIM('DL 1'!G100),1)</f>
        <v/>
      </c>
      <c r="E99" s="8">
        <f>'DL 1'!E100*'DL 1'!D100</f>
        <v>0</v>
      </c>
      <c r="F99" t="str">
        <f>_xlfn.IFNA(VLOOKUP(TRIM('DL 1'!G100),Data!$A:$C,3,0),"")</f>
        <v/>
      </c>
      <c r="G99" s="7">
        <f>'DL 1'!E100</f>
        <v>0</v>
      </c>
      <c r="H99" s="21">
        <f>_xlfn.IFNA(VLOOKUP(TRIM('DL 1'!G100),Data!$A:$D,4,0),0)</f>
        <v>0</v>
      </c>
      <c r="I99">
        <f>_xlfn.IFNA(INDEX(Data!$G$5:$K$10,MATCH('DL 1'!D100,Data!$F$5:$F$10,1),MATCH(_xlfn.SINGLE(#REF!),Data!$G$4:$K$4,1)),0)</f>
        <v>0</v>
      </c>
      <c r="J99">
        <f>_xlfn.IFNA(IF(VLOOKUP(TRIM('DL 1'!G100),Data!$A:$C,3,0)="ST1",H99*I99*G99,IF(VLOOKUP(TRIM('DL 1'!G100),Data!$A:$C,3,0)="IR0",H99*G99,MIN(H99:I99)*G99)),0)</f>
        <v>0</v>
      </c>
      <c r="K99" t="e">
        <f>_xlfn.IFNA(VLOOKUP(TRIM(#REF!),Data!$A:$D,4,0)*#REF!,0)</f>
        <v>#REF!</v>
      </c>
      <c r="L99">
        <f>IF(TRIM('DL 1'!G100)="EDCLNHT0IRNLI",20000,0)</f>
        <v>0</v>
      </c>
      <c r="M99">
        <f>IF(ISERROR(MATCH('DL 1'!A100,#REF!,0)),0,J99*2)</f>
        <v>0</v>
      </c>
      <c r="N99" t="e">
        <f>#REF!</f>
        <v>#REF!</v>
      </c>
      <c r="O99">
        <f>_xlfn.IFNA(VLOOKUP(RIGHT(VLOOKUP(TRIM('DL 1'!G100),Data!$A:$B,2,0),1),Data!$L$23:$M$30,2,0),0)</f>
        <v>0</v>
      </c>
      <c r="P99">
        <f t="shared" si="20"/>
        <v>0</v>
      </c>
      <c r="Q99" s="7" t="b">
        <f t="shared" si="11"/>
        <v>0</v>
      </c>
      <c r="R99" s="27">
        <f>INCENTIVE!$E$8</f>
        <v>130000000</v>
      </c>
      <c r="S99">
        <f>'DL 1'!D100</f>
        <v>0</v>
      </c>
      <c r="T99" t="str">
        <f t="shared" si="12"/>
        <v>1</v>
      </c>
      <c r="V99" t="str">
        <f t="shared" si="13"/>
        <v>1</v>
      </c>
      <c r="W99">
        <f t="shared" si="14"/>
        <v>0.25</v>
      </c>
      <c r="X99" s="7">
        <f>'DL 1'!E100</f>
        <v>0</v>
      </c>
      <c r="Y99" s="69">
        <f>'DL 1'!G100</f>
        <v>0</v>
      </c>
      <c r="AC99" t="str">
        <f>IFERROR(VLOOKUP(Y99,Data!$G$65:$L$69,2,0) *X99,"")</f>
        <v/>
      </c>
      <c r="AD99" s="7">
        <f t="shared" si="15"/>
        <v>0</v>
      </c>
      <c r="AE99">
        <f>'DL 1'!F100</f>
        <v>0</v>
      </c>
      <c r="AF99" t="str">
        <f>IFERROR(VLOOKUP(Y99,Data!$G$65:$K$79,4,0),"")</f>
        <v/>
      </c>
      <c r="AG99" s="51" t="e">
        <f>#REF!</f>
        <v>#REF!</v>
      </c>
      <c r="AK99">
        <f t="shared" si="16"/>
        <v>0</v>
      </c>
      <c r="AL99">
        <f t="shared" si="17"/>
        <v>0</v>
      </c>
      <c r="AM99" s="70">
        <f t="shared" si="18"/>
        <v>0</v>
      </c>
      <c r="AN99" s="7" t="b">
        <f t="shared" si="19"/>
        <v>0</v>
      </c>
    </row>
    <row r="100" spans="1:40" x14ac:dyDescent="0.3">
      <c r="A100" s="50">
        <f>IF(D100="A",_xlfn.IFNA(INDEX(Data!$H$24:$J$28,MATCH('DL 1'!E101,Data!$G$24:$G$28,1),MATCH('DL 1'!D101,Data!$H$23:$J$23,1)),0),0)</f>
        <v>0</v>
      </c>
      <c r="B100">
        <f>IF('DL 1'!F101="Y",Q100,0)</f>
        <v>0</v>
      </c>
      <c r="C100" t="e">
        <f>_xlfn.IFNA(INDEX(Data!$H$24:$J$28,MATCH(#REF!,Data!$G$24:$G$28,1),MATCH(#REF!,Data!$H$23:$J$23,1)),0)</f>
        <v>#REF!</v>
      </c>
      <c r="D100" t="str">
        <f>RIGHT(TRIM('DL 1'!G101),1)</f>
        <v/>
      </c>
      <c r="E100" s="8">
        <f>'DL 1'!E101*'DL 1'!D101</f>
        <v>0</v>
      </c>
      <c r="F100" t="str">
        <f>_xlfn.IFNA(VLOOKUP(TRIM('DL 1'!G101),Data!$A:$C,3,0),"")</f>
        <v/>
      </c>
      <c r="G100" s="7">
        <f>'DL 1'!E101</f>
        <v>0</v>
      </c>
      <c r="H100" s="21">
        <f>_xlfn.IFNA(VLOOKUP(TRIM('DL 1'!G101),Data!$A:$D,4,0),0)</f>
        <v>0</v>
      </c>
      <c r="I100">
        <f>_xlfn.IFNA(INDEX(Data!$G$5:$K$10,MATCH('DL 1'!D101,Data!$F$5:$F$10,1),MATCH(_xlfn.SINGLE(#REF!),Data!$G$4:$K$4,1)),0)</f>
        <v>0</v>
      </c>
      <c r="J100">
        <f>_xlfn.IFNA(IF(VLOOKUP(TRIM('DL 1'!G101),Data!$A:$C,3,0)="ST1",H100*I100*G100,IF(VLOOKUP(TRIM('DL 1'!G101),Data!$A:$C,3,0)="IR0",H100*G100,MIN(H100:I100)*G100)),0)</f>
        <v>0</v>
      </c>
      <c r="K100" t="e">
        <f>_xlfn.IFNA(VLOOKUP(TRIM(#REF!),Data!$A:$D,4,0)*#REF!,0)</f>
        <v>#REF!</v>
      </c>
      <c r="L100">
        <f>IF(TRIM('DL 1'!G101)="EDCLNHT0IRNLI",20000,0)</f>
        <v>0</v>
      </c>
      <c r="M100">
        <f>IF(ISERROR(MATCH('DL 1'!A101,#REF!,0)),0,J100*2)</f>
        <v>0</v>
      </c>
      <c r="N100" t="e">
        <f>#REF!</f>
        <v>#REF!</v>
      </c>
      <c r="O100">
        <f>_xlfn.IFNA(VLOOKUP(RIGHT(VLOOKUP(TRIM('DL 1'!G101),Data!$A:$B,2,0),1),Data!$L$23:$M$30,2,0),0)</f>
        <v>0</v>
      </c>
      <c r="P100">
        <f t="shared" si="20"/>
        <v>0</v>
      </c>
      <c r="Q100" s="7" t="b">
        <f t="shared" si="11"/>
        <v>0</v>
      </c>
      <c r="R100" s="27">
        <f>INCENTIVE!$E$8</f>
        <v>130000000</v>
      </c>
      <c r="S100">
        <f>'DL 1'!D101</f>
        <v>0</v>
      </c>
      <c r="T100" t="str">
        <f t="shared" si="12"/>
        <v>1</v>
      </c>
      <c r="V100" t="str">
        <f t="shared" si="13"/>
        <v>1</v>
      </c>
      <c r="W100">
        <f t="shared" si="14"/>
        <v>0.25</v>
      </c>
      <c r="X100" s="7">
        <f>'DL 1'!E101</f>
        <v>0</v>
      </c>
      <c r="Y100" s="69">
        <f>'DL 1'!G101</f>
        <v>0</v>
      </c>
      <c r="AC100" t="str">
        <f>IFERROR(VLOOKUP(Y100,Data!$G$65:$L$69,2,0) *X100,"")</f>
        <v/>
      </c>
      <c r="AD100" s="7">
        <f t="shared" si="15"/>
        <v>0</v>
      </c>
      <c r="AE100">
        <f>'DL 1'!F101</f>
        <v>0</v>
      </c>
      <c r="AF100" t="str">
        <f>IFERROR(VLOOKUP(Y100,Data!$G$65:$K$79,4,0),"")</f>
        <v/>
      </c>
      <c r="AG100" s="51" t="e">
        <f>#REF!</f>
        <v>#REF!</v>
      </c>
      <c r="AK100">
        <f t="shared" si="16"/>
        <v>0</v>
      </c>
      <c r="AL100">
        <f t="shared" si="17"/>
        <v>0</v>
      </c>
      <c r="AM100" s="70">
        <f t="shared" si="18"/>
        <v>0</v>
      </c>
      <c r="AN100" s="7" t="b">
        <f t="shared" si="19"/>
        <v>0</v>
      </c>
    </row>
    <row r="101" spans="1:40" x14ac:dyDescent="0.3">
      <c r="A101" s="50">
        <f>IF(D101="A",_xlfn.IFNA(INDEX(Data!$H$24:$J$28,MATCH('DL 1'!E102,Data!$G$24:$G$28,1),MATCH('DL 1'!D102,Data!$H$23:$J$23,1)),0),0)</f>
        <v>0</v>
      </c>
      <c r="B101">
        <f>IF('DL 1'!F102="Y",Q101,0)</f>
        <v>0</v>
      </c>
      <c r="C101" t="e">
        <f>_xlfn.IFNA(INDEX(Data!$H$24:$J$28,MATCH(#REF!,Data!$G$24:$G$28,1),MATCH(#REF!,Data!$H$23:$J$23,1)),0)</f>
        <v>#REF!</v>
      </c>
      <c r="D101" t="str">
        <f>RIGHT(TRIM('DL 1'!G102),1)</f>
        <v/>
      </c>
      <c r="E101" s="8">
        <f>'DL 1'!E102*'DL 1'!D102</f>
        <v>0</v>
      </c>
      <c r="F101" t="str">
        <f>_xlfn.IFNA(VLOOKUP(TRIM('DL 1'!G102),Data!$A:$C,3,0),"")</f>
        <v/>
      </c>
      <c r="G101" s="7">
        <f>'DL 1'!E102</f>
        <v>0</v>
      </c>
      <c r="H101" s="21">
        <f>_xlfn.IFNA(VLOOKUP(TRIM('DL 1'!G102),Data!$A:$D,4,0),0)</f>
        <v>0</v>
      </c>
      <c r="I101">
        <f>_xlfn.IFNA(INDEX(Data!$G$5:$K$10,MATCH('DL 1'!D102,Data!$F$5:$F$10,1),MATCH(_xlfn.SINGLE(#REF!),Data!$G$4:$K$4,1)),0)</f>
        <v>0</v>
      </c>
      <c r="J101">
        <f>_xlfn.IFNA(IF(VLOOKUP(TRIM('DL 1'!G102),Data!$A:$C,3,0)="ST1",H101*I101*G101,IF(VLOOKUP(TRIM('DL 1'!G102),Data!$A:$C,3,0)="IR0",H101*G101,MIN(H101:I101)*G101)),0)</f>
        <v>0</v>
      </c>
      <c r="K101" t="e">
        <f>_xlfn.IFNA(VLOOKUP(TRIM(#REF!),Data!$A:$D,4,0)*#REF!,0)</f>
        <v>#REF!</v>
      </c>
      <c r="L101">
        <f>IF(TRIM('DL 1'!G102)="EDCLNHT0IRNLI",20000,0)</f>
        <v>0</v>
      </c>
      <c r="M101">
        <f>IF(ISERROR(MATCH('DL 1'!A102,#REF!,0)),0,J101*2)</f>
        <v>0</v>
      </c>
      <c r="N101" t="e">
        <f>#REF!</f>
        <v>#REF!</v>
      </c>
      <c r="O101">
        <f>_xlfn.IFNA(VLOOKUP(RIGHT(VLOOKUP(TRIM('DL 1'!G102),Data!$A:$B,2,0),1),Data!$L$23:$M$30,2,0),0)</f>
        <v>0</v>
      </c>
      <c r="P101">
        <f t="shared" si="20"/>
        <v>0</v>
      </c>
      <c r="Q101" s="7" t="b">
        <f t="shared" si="11"/>
        <v>0</v>
      </c>
      <c r="R101" s="27">
        <f>INCENTIVE!$E$8</f>
        <v>130000000</v>
      </c>
      <c r="S101">
        <f>'DL 1'!D102</f>
        <v>0</v>
      </c>
      <c r="T101" t="str">
        <f t="shared" si="12"/>
        <v>1</v>
      </c>
      <c r="V101" t="str">
        <f t="shared" si="13"/>
        <v>1</v>
      </c>
      <c r="W101">
        <f t="shared" si="14"/>
        <v>0.25</v>
      </c>
      <c r="X101" s="7">
        <f>'DL 1'!E102</f>
        <v>0</v>
      </c>
      <c r="Y101" s="69">
        <f>'DL 1'!G102</f>
        <v>0</v>
      </c>
      <c r="AC101" t="str">
        <f>IFERROR(VLOOKUP(Y101,Data!$G$65:$L$69,2,0) *X101,"")</f>
        <v/>
      </c>
      <c r="AD101" s="7">
        <f t="shared" si="15"/>
        <v>0</v>
      </c>
      <c r="AE101">
        <f>'DL 1'!F102</f>
        <v>0</v>
      </c>
      <c r="AF101" t="str">
        <f>IFERROR(VLOOKUP(Y101,Data!$G$65:$K$79,4,0),"")</f>
        <v/>
      </c>
      <c r="AG101" s="51" t="e">
        <f>#REF!</f>
        <v>#REF!</v>
      </c>
      <c r="AK101">
        <f t="shared" si="16"/>
        <v>0</v>
      </c>
      <c r="AL101">
        <f t="shared" si="17"/>
        <v>0</v>
      </c>
      <c r="AM101" s="70">
        <f t="shared" si="18"/>
        <v>0</v>
      </c>
      <c r="AN101" s="7" t="b">
        <f t="shared" si="19"/>
        <v>0</v>
      </c>
    </row>
    <row r="102" spans="1:40" x14ac:dyDescent="0.3">
      <c r="A102" s="50">
        <f>IF(D102="A",_xlfn.IFNA(INDEX(Data!$H$24:$J$28,MATCH('DL 1'!E103,Data!$G$24:$G$28,1),MATCH('DL 1'!D103,Data!$H$23:$J$23,1)),0),0)</f>
        <v>0</v>
      </c>
      <c r="B102">
        <f>IF('DL 1'!F103="Y",Q102,0)</f>
        <v>0</v>
      </c>
      <c r="C102" t="e">
        <f>_xlfn.IFNA(INDEX(Data!$H$24:$J$28,MATCH(#REF!,Data!$G$24:$G$28,1),MATCH(#REF!,Data!$H$23:$J$23,1)),0)</f>
        <v>#REF!</v>
      </c>
      <c r="D102" t="str">
        <f>RIGHT(TRIM('DL 1'!G103),1)</f>
        <v/>
      </c>
      <c r="E102" s="8">
        <f>'DL 1'!E103*'DL 1'!D103</f>
        <v>0</v>
      </c>
      <c r="F102" t="str">
        <f>_xlfn.IFNA(VLOOKUP(TRIM('DL 1'!G103),Data!$A:$C,3,0),"")</f>
        <v/>
      </c>
      <c r="G102" s="7">
        <f>'DL 1'!E103</f>
        <v>0</v>
      </c>
      <c r="H102" s="21">
        <f>_xlfn.IFNA(VLOOKUP(TRIM('DL 1'!G103),Data!$A:$D,4,0),0)</f>
        <v>0</v>
      </c>
      <c r="I102">
        <f>_xlfn.IFNA(INDEX(Data!$G$5:$K$10,MATCH('DL 1'!D103,Data!$F$5:$F$10,1),MATCH(_xlfn.SINGLE(#REF!),Data!$G$4:$K$4,1)),0)</f>
        <v>0</v>
      </c>
      <c r="J102">
        <f>_xlfn.IFNA(IF(VLOOKUP(TRIM('DL 1'!G103),Data!$A:$C,3,0)="ST1",H102*I102*G102,IF(VLOOKUP(TRIM('DL 1'!G103),Data!$A:$C,3,0)="IR0",H102*G102,MIN(H102:I102)*G102)),0)</f>
        <v>0</v>
      </c>
      <c r="K102" t="e">
        <f>_xlfn.IFNA(VLOOKUP(TRIM(#REF!),Data!$A:$D,4,0)*#REF!,0)</f>
        <v>#REF!</v>
      </c>
      <c r="L102">
        <f>IF(TRIM('DL 1'!G103)="EDCLNHT0IRNLI",20000,0)</f>
        <v>0</v>
      </c>
      <c r="M102">
        <f>IF(ISERROR(MATCH('DL 1'!A103,#REF!,0)),0,J102*2)</f>
        <v>0</v>
      </c>
      <c r="N102" t="e">
        <f>#REF!</f>
        <v>#REF!</v>
      </c>
      <c r="O102">
        <f>_xlfn.IFNA(VLOOKUP(RIGHT(VLOOKUP(TRIM('DL 1'!G103),Data!$A:$B,2,0),1),Data!$L$23:$M$30,2,0),0)</f>
        <v>0</v>
      </c>
      <c r="P102">
        <f t="shared" si="20"/>
        <v>0</v>
      </c>
      <c r="Q102" s="7" t="b">
        <f t="shared" si="11"/>
        <v>0</v>
      </c>
      <c r="R102" s="27">
        <f>INCENTIVE!$E$8</f>
        <v>130000000</v>
      </c>
      <c r="S102">
        <f>'DL 1'!D103</f>
        <v>0</v>
      </c>
      <c r="T102" t="str">
        <f t="shared" si="12"/>
        <v>1</v>
      </c>
      <c r="V102" t="str">
        <f t="shared" si="13"/>
        <v>1</v>
      </c>
      <c r="W102">
        <f t="shared" si="14"/>
        <v>0.25</v>
      </c>
      <c r="X102" s="7">
        <f>'DL 1'!E103</f>
        <v>0</v>
      </c>
      <c r="Y102" s="69">
        <f>'DL 1'!G103</f>
        <v>0</v>
      </c>
      <c r="AC102" t="str">
        <f>IFERROR(VLOOKUP(Y102,Data!$G$65:$L$69,2,0) *X102,"")</f>
        <v/>
      </c>
      <c r="AD102" s="7">
        <f t="shared" si="15"/>
        <v>0</v>
      </c>
      <c r="AE102">
        <f>'DL 1'!F103</f>
        <v>0</v>
      </c>
      <c r="AF102" t="str">
        <f>IFERROR(VLOOKUP(Y102,Data!$G$65:$K$79,4,0),"")</f>
        <v/>
      </c>
      <c r="AG102" s="51" t="e">
        <f>#REF!</f>
        <v>#REF!</v>
      </c>
      <c r="AK102">
        <f t="shared" si="16"/>
        <v>0</v>
      </c>
      <c r="AL102">
        <f t="shared" si="17"/>
        <v>0</v>
      </c>
      <c r="AM102" s="70">
        <f t="shared" si="18"/>
        <v>0</v>
      </c>
      <c r="AN102" s="7" t="b">
        <f t="shared" si="19"/>
        <v>0</v>
      </c>
    </row>
    <row r="103" spans="1:40" x14ac:dyDescent="0.3">
      <c r="A103" s="50">
        <f>IF(D103="A",_xlfn.IFNA(INDEX(Data!$H$24:$J$28,MATCH('DL 1'!E104,Data!$G$24:$G$28,1),MATCH('DL 1'!D104,Data!$H$23:$J$23,1)),0),0)</f>
        <v>0</v>
      </c>
      <c r="B103">
        <f>IF('DL 1'!F104="Y",Q103,0)</f>
        <v>0</v>
      </c>
      <c r="C103" t="e">
        <f>_xlfn.IFNA(INDEX(Data!$H$24:$J$28,MATCH(#REF!,Data!$G$24:$G$28,1),MATCH(#REF!,Data!$H$23:$J$23,1)),0)</f>
        <v>#REF!</v>
      </c>
      <c r="D103" t="str">
        <f>RIGHT(TRIM('DL 1'!G104),1)</f>
        <v/>
      </c>
      <c r="E103" s="8">
        <f>'DL 1'!E104*'DL 1'!D104</f>
        <v>0</v>
      </c>
      <c r="F103" t="str">
        <f>_xlfn.IFNA(VLOOKUP(TRIM('DL 1'!G104),Data!$A:$C,3,0),"")</f>
        <v/>
      </c>
      <c r="G103" s="7">
        <f>'DL 1'!E104</f>
        <v>0</v>
      </c>
      <c r="H103" s="21">
        <f>_xlfn.IFNA(VLOOKUP(TRIM('DL 1'!G104),Data!$A:$D,4,0),0)</f>
        <v>0</v>
      </c>
      <c r="I103">
        <f>_xlfn.IFNA(INDEX(Data!$G$5:$K$10,MATCH('DL 1'!D104,Data!$F$5:$F$10,1),MATCH(_xlfn.SINGLE(#REF!),Data!$G$4:$K$4,1)),0)</f>
        <v>0</v>
      </c>
      <c r="J103">
        <f>_xlfn.IFNA(IF(VLOOKUP(TRIM('DL 1'!G104),Data!$A:$C,3,0)="ST1",H103*I103*G103,IF(VLOOKUP(TRIM('DL 1'!G104),Data!$A:$C,3,0)="IR0",H103*G103,MIN(H103:I103)*G103)),0)</f>
        <v>0</v>
      </c>
      <c r="K103" t="e">
        <f>_xlfn.IFNA(VLOOKUP(TRIM(#REF!),Data!$A:$D,4,0)*#REF!,0)</f>
        <v>#REF!</v>
      </c>
      <c r="L103">
        <f>IF(TRIM('DL 1'!G104)="EDCLNHT0IRNLI",20000,0)</f>
        <v>0</v>
      </c>
      <c r="M103">
        <f>IF(ISERROR(MATCH('DL 1'!A104,#REF!,0)),0,J103*2)</f>
        <v>0</v>
      </c>
      <c r="N103" t="e">
        <f>#REF!</f>
        <v>#REF!</v>
      </c>
      <c r="O103">
        <f>_xlfn.IFNA(VLOOKUP(RIGHT(VLOOKUP(TRIM('DL 1'!G104),Data!$A:$B,2,0),1),Data!$L$23:$M$30,2,0),0)</f>
        <v>0</v>
      </c>
      <c r="P103">
        <f t="shared" si="20"/>
        <v>0</v>
      </c>
      <c r="Q103" s="7" t="b">
        <f t="shared" si="11"/>
        <v>0</v>
      </c>
      <c r="R103" s="27">
        <f>INCENTIVE!$E$8</f>
        <v>130000000</v>
      </c>
      <c r="S103">
        <f>'DL 1'!D104</f>
        <v>0</v>
      </c>
      <c r="T103" t="str">
        <f t="shared" si="12"/>
        <v>1</v>
      </c>
      <c r="V103" t="str">
        <f t="shared" si="13"/>
        <v>1</v>
      </c>
      <c r="W103">
        <f t="shared" si="14"/>
        <v>0.25</v>
      </c>
      <c r="X103" s="7">
        <f>'DL 1'!E104</f>
        <v>0</v>
      </c>
      <c r="Y103" s="69">
        <f>'DL 1'!G104</f>
        <v>0</v>
      </c>
      <c r="AC103" t="str">
        <f>IFERROR(VLOOKUP(Y103,Data!$G$65:$L$69,2,0) *X103,"")</f>
        <v/>
      </c>
      <c r="AD103" s="7">
        <f t="shared" si="15"/>
        <v>0</v>
      </c>
      <c r="AE103">
        <f>'DL 1'!F104</f>
        <v>0</v>
      </c>
      <c r="AF103" t="str">
        <f>IFERROR(VLOOKUP(Y103,Data!$G$65:$K$79,4,0),"")</f>
        <v/>
      </c>
      <c r="AG103" s="51" t="e">
        <f>#REF!</f>
        <v>#REF!</v>
      </c>
      <c r="AK103">
        <f t="shared" si="16"/>
        <v>0</v>
      </c>
      <c r="AL103">
        <f t="shared" si="17"/>
        <v>0</v>
      </c>
      <c r="AM103" s="70">
        <f t="shared" si="18"/>
        <v>0</v>
      </c>
      <c r="AN103" s="7" t="b">
        <f t="shared" si="19"/>
        <v>0</v>
      </c>
    </row>
    <row r="104" spans="1:40" x14ac:dyDescent="0.3">
      <c r="A104" s="50">
        <f>IF(D104="A",_xlfn.IFNA(INDEX(Data!$H$24:$J$28,MATCH('DL 1'!E105,Data!$G$24:$G$28,1),MATCH('DL 1'!D105,Data!$H$23:$J$23,1)),0),0)</f>
        <v>0</v>
      </c>
      <c r="B104">
        <f>IF('DL 1'!F105="Y",Q104,0)</f>
        <v>0</v>
      </c>
      <c r="C104" t="e">
        <f>_xlfn.IFNA(INDEX(Data!$H$24:$J$28,MATCH(#REF!,Data!$G$24:$G$28,1),MATCH(#REF!,Data!$H$23:$J$23,1)),0)</f>
        <v>#REF!</v>
      </c>
      <c r="D104" t="str">
        <f>RIGHT(TRIM('DL 1'!G105),1)</f>
        <v/>
      </c>
      <c r="E104" s="8">
        <f>'DL 1'!E105*'DL 1'!D105</f>
        <v>0</v>
      </c>
      <c r="F104" t="str">
        <f>_xlfn.IFNA(VLOOKUP(TRIM('DL 1'!G105),Data!$A:$C,3,0),"")</f>
        <v/>
      </c>
      <c r="G104" s="7">
        <f>'DL 1'!E105</f>
        <v>0</v>
      </c>
      <c r="H104" s="21">
        <f>_xlfn.IFNA(VLOOKUP(TRIM('DL 1'!G105),Data!$A:$D,4,0),0)</f>
        <v>0</v>
      </c>
      <c r="I104">
        <f>_xlfn.IFNA(INDEX(Data!$G$5:$K$10,MATCH('DL 1'!D105,Data!$F$5:$F$10,1),MATCH(_xlfn.SINGLE(#REF!),Data!$G$4:$K$4,1)),0)</f>
        <v>0</v>
      </c>
      <c r="J104">
        <f>_xlfn.IFNA(IF(VLOOKUP(TRIM('DL 1'!G105),Data!$A:$C,3,0)="ST1",H104*I104*G104,IF(VLOOKUP(TRIM('DL 1'!G105),Data!$A:$C,3,0)="IR0",H104*G104,MIN(H104:I104)*G104)),0)</f>
        <v>0</v>
      </c>
      <c r="K104" t="e">
        <f>_xlfn.IFNA(VLOOKUP(TRIM(#REF!),Data!$A:$D,4,0)*#REF!,0)</f>
        <v>#REF!</v>
      </c>
      <c r="L104">
        <f>IF(TRIM('DL 1'!G105)="EDCLNHT0IRNLI",20000,0)</f>
        <v>0</v>
      </c>
      <c r="M104">
        <f>IF(ISERROR(MATCH('DL 1'!A105,#REF!,0)),0,J104*2)</f>
        <v>0</v>
      </c>
      <c r="N104" t="e">
        <f>#REF!</f>
        <v>#REF!</v>
      </c>
      <c r="O104">
        <f>_xlfn.IFNA(VLOOKUP(RIGHT(VLOOKUP(TRIM('DL 1'!G105),Data!$A:$B,2,0),1),Data!$L$23:$M$30,2,0),0)</f>
        <v>0</v>
      </c>
      <c r="P104">
        <f t="shared" si="20"/>
        <v>0</v>
      </c>
      <c r="Q104" s="7" t="b">
        <f t="shared" si="11"/>
        <v>0</v>
      </c>
      <c r="R104" s="27">
        <f>INCENTIVE!$E$8</f>
        <v>130000000</v>
      </c>
      <c r="S104">
        <f>'DL 1'!D105</f>
        <v>0</v>
      </c>
      <c r="T104" t="str">
        <f t="shared" si="12"/>
        <v>1</v>
      </c>
      <c r="V104" t="str">
        <f t="shared" si="13"/>
        <v>1</v>
      </c>
      <c r="W104">
        <f t="shared" si="14"/>
        <v>0.25</v>
      </c>
      <c r="X104" s="7">
        <f>'DL 1'!E105</f>
        <v>0</v>
      </c>
      <c r="Y104" s="69">
        <f>'DL 1'!G105</f>
        <v>0</v>
      </c>
      <c r="AC104" t="str">
        <f>IFERROR(VLOOKUP(Y104,Data!$G$65:$L$69,2,0) *X104,"")</f>
        <v/>
      </c>
      <c r="AD104" s="7">
        <f t="shared" si="15"/>
        <v>0</v>
      </c>
      <c r="AE104">
        <f>'DL 1'!F105</f>
        <v>0</v>
      </c>
      <c r="AF104" t="str">
        <f>IFERROR(VLOOKUP(Y104,Data!$G$65:$K$79,4,0),"")</f>
        <v/>
      </c>
      <c r="AG104" s="51" t="e">
        <f>#REF!</f>
        <v>#REF!</v>
      </c>
      <c r="AK104">
        <f t="shared" si="16"/>
        <v>0</v>
      </c>
      <c r="AL104">
        <f t="shared" si="17"/>
        <v>0</v>
      </c>
      <c r="AM104" s="70">
        <f t="shared" si="18"/>
        <v>0</v>
      </c>
      <c r="AN104" s="7" t="b">
        <f t="shared" si="19"/>
        <v>0</v>
      </c>
    </row>
    <row r="105" spans="1:40" x14ac:dyDescent="0.3">
      <c r="A105" s="50">
        <f>IF(D105="A",_xlfn.IFNA(INDEX(Data!$H$24:$J$28,MATCH('DL 1'!E106,Data!$G$24:$G$28,1),MATCH('DL 1'!D106,Data!$H$23:$J$23,1)),0),0)</f>
        <v>0</v>
      </c>
      <c r="B105">
        <f>IF('DL 1'!F106="Y",Q105,0)</f>
        <v>0</v>
      </c>
      <c r="C105" t="e">
        <f>_xlfn.IFNA(INDEX(Data!$H$24:$J$28,MATCH(#REF!,Data!$G$24:$G$28,1),MATCH(#REF!,Data!$H$23:$J$23,1)),0)</f>
        <v>#REF!</v>
      </c>
      <c r="D105" t="str">
        <f>RIGHT(TRIM('DL 1'!G106),1)</f>
        <v/>
      </c>
      <c r="E105" s="8">
        <f>'DL 1'!E106*'DL 1'!D106</f>
        <v>0</v>
      </c>
      <c r="F105" t="str">
        <f>_xlfn.IFNA(VLOOKUP(TRIM('DL 1'!G106),Data!$A:$C,3,0),"")</f>
        <v/>
      </c>
      <c r="G105" s="7">
        <f>'DL 1'!E106</f>
        <v>0</v>
      </c>
      <c r="H105" s="21">
        <f>_xlfn.IFNA(VLOOKUP(TRIM('DL 1'!G106),Data!$A:$D,4,0),0)</f>
        <v>0</v>
      </c>
      <c r="I105">
        <f>_xlfn.IFNA(INDEX(Data!$G$5:$K$10,MATCH('DL 1'!D106,Data!$F$5:$F$10,1),MATCH(_xlfn.SINGLE(#REF!),Data!$G$4:$K$4,1)),0)</f>
        <v>0</v>
      </c>
      <c r="J105">
        <f>_xlfn.IFNA(IF(VLOOKUP(TRIM('DL 1'!G106),Data!$A:$C,3,0)="ST1",H105*I105*G105,IF(VLOOKUP(TRIM('DL 1'!G106),Data!$A:$C,3,0)="IR0",H105*G105,MIN(H105:I105)*G105)),0)</f>
        <v>0</v>
      </c>
      <c r="K105" t="e">
        <f>_xlfn.IFNA(VLOOKUP(TRIM(#REF!),Data!$A:$D,4,0)*#REF!,0)</f>
        <v>#REF!</v>
      </c>
      <c r="L105">
        <f>IF(TRIM('DL 1'!G106)="EDCLNHT0IRNLI",20000,0)</f>
        <v>0</v>
      </c>
      <c r="M105">
        <f>IF(ISERROR(MATCH('DL 1'!A106,#REF!,0)),0,J105*2)</f>
        <v>0</v>
      </c>
      <c r="N105" t="e">
        <f>#REF!</f>
        <v>#REF!</v>
      </c>
      <c r="O105">
        <f>_xlfn.IFNA(VLOOKUP(RIGHT(VLOOKUP(TRIM('DL 1'!G106),Data!$A:$B,2,0),1),Data!$L$23:$M$30,2,0),0)</f>
        <v>0</v>
      </c>
      <c r="P105">
        <f t="shared" si="20"/>
        <v>0</v>
      </c>
      <c r="Q105" s="7" t="b">
        <f t="shared" si="11"/>
        <v>0</v>
      </c>
      <c r="R105" s="27">
        <f>INCENTIVE!$E$8</f>
        <v>130000000</v>
      </c>
      <c r="S105">
        <f>'DL 1'!D106</f>
        <v>0</v>
      </c>
      <c r="T105" t="str">
        <f t="shared" si="12"/>
        <v>1</v>
      </c>
      <c r="V105" t="str">
        <f t="shared" si="13"/>
        <v>1</v>
      </c>
      <c r="W105">
        <f t="shared" si="14"/>
        <v>0.25</v>
      </c>
      <c r="X105" s="7">
        <f>'DL 1'!E106</f>
        <v>0</v>
      </c>
      <c r="Y105" s="69">
        <f>'DL 1'!G106</f>
        <v>0</v>
      </c>
      <c r="AC105" t="str">
        <f>IFERROR(VLOOKUP(Y105,Data!$G$65:$L$69,2,0) *X105,"")</f>
        <v/>
      </c>
      <c r="AD105" s="7">
        <f t="shared" si="15"/>
        <v>0</v>
      </c>
      <c r="AE105">
        <f>'DL 1'!F106</f>
        <v>0</v>
      </c>
      <c r="AF105" t="str">
        <f>IFERROR(VLOOKUP(Y105,Data!$G$65:$K$79,4,0),"")</f>
        <v/>
      </c>
      <c r="AG105" s="51" t="e">
        <f>#REF!</f>
        <v>#REF!</v>
      </c>
      <c r="AK105">
        <f t="shared" si="16"/>
        <v>0</v>
      </c>
      <c r="AL105">
        <f t="shared" si="17"/>
        <v>0</v>
      </c>
      <c r="AM105" s="70">
        <f t="shared" si="18"/>
        <v>0</v>
      </c>
      <c r="AN105" s="7" t="b">
        <f t="shared" si="19"/>
        <v>0</v>
      </c>
    </row>
    <row r="106" spans="1:40" x14ac:dyDescent="0.3">
      <c r="A106" s="50">
        <f>IF(D106="A",_xlfn.IFNA(INDEX(Data!$H$24:$J$28,MATCH('DL 1'!E107,Data!$G$24:$G$28,1),MATCH('DL 1'!D107,Data!$H$23:$J$23,1)),0),0)</f>
        <v>0</v>
      </c>
      <c r="B106">
        <f>IF('DL 1'!F107="Y",Q106,0)</f>
        <v>0</v>
      </c>
      <c r="C106" t="e">
        <f>_xlfn.IFNA(INDEX(Data!$H$24:$J$28,MATCH(#REF!,Data!$G$24:$G$28,1),MATCH(#REF!,Data!$H$23:$J$23,1)),0)</f>
        <v>#REF!</v>
      </c>
      <c r="D106" t="str">
        <f>RIGHT(TRIM('DL 1'!G107),1)</f>
        <v/>
      </c>
      <c r="E106" s="8">
        <f>'DL 1'!E107*'DL 1'!D107</f>
        <v>0</v>
      </c>
      <c r="F106" t="str">
        <f>_xlfn.IFNA(VLOOKUP(TRIM('DL 1'!G107),Data!$A:$C,3,0),"")</f>
        <v/>
      </c>
      <c r="G106" s="7">
        <f>'DL 1'!E107</f>
        <v>0</v>
      </c>
      <c r="H106" s="21">
        <f>_xlfn.IFNA(VLOOKUP(TRIM('DL 1'!G107),Data!$A:$D,4,0),0)</f>
        <v>0</v>
      </c>
      <c r="I106">
        <f>_xlfn.IFNA(INDEX(Data!$G$5:$K$10,MATCH('DL 1'!D107,Data!$F$5:$F$10,1),MATCH(_xlfn.SINGLE(#REF!),Data!$G$4:$K$4,1)),0)</f>
        <v>0</v>
      </c>
      <c r="J106">
        <f>_xlfn.IFNA(IF(VLOOKUP(TRIM('DL 1'!G107),Data!$A:$C,3,0)="ST1",H106*I106*G106,IF(VLOOKUP(TRIM('DL 1'!G107),Data!$A:$C,3,0)="IR0",H106*G106,MIN(H106:I106)*G106)),0)</f>
        <v>0</v>
      </c>
      <c r="K106" t="e">
        <f>_xlfn.IFNA(VLOOKUP(TRIM(#REF!),Data!$A:$D,4,0)*#REF!,0)</f>
        <v>#REF!</v>
      </c>
      <c r="L106">
        <f>IF(TRIM('DL 1'!G107)="EDCLNHT0IRNLI",20000,0)</f>
        <v>0</v>
      </c>
      <c r="M106">
        <f>IF(ISERROR(MATCH('DL 1'!A107,#REF!,0)),0,J106*2)</f>
        <v>0</v>
      </c>
      <c r="N106" t="e">
        <f>#REF!</f>
        <v>#REF!</v>
      </c>
      <c r="O106">
        <f>_xlfn.IFNA(VLOOKUP(RIGHT(VLOOKUP(TRIM('DL 1'!G107),Data!$A:$B,2,0),1),Data!$L$23:$M$30,2,0),0)</f>
        <v>0</v>
      </c>
      <c r="P106">
        <f t="shared" si="20"/>
        <v>0</v>
      </c>
      <c r="Q106" s="7" t="b">
        <f t="shared" si="11"/>
        <v>0</v>
      </c>
      <c r="R106" s="27">
        <f>INCENTIVE!$E$8</f>
        <v>130000000</v>
      </c>
      <c r="S106">
        <f>'DL 1'!D107</f>
        <v>0</v>
      </c>
      <c r="T106" t="str">
        <f t="shared" si="12"/>
        <v>1</v>
      </c>
      <c r="V106" t="str">
        <f t="shared" si="13"/>
        <v>1</v>
      </c>
      <c r="W106">
        <f t="shared" si="14"/>
        <v>0.25</v>
      </c>
      <c r="X106" s="7">
        <f>'DL 1'!E107</f>
        <v>0</v>
      </c>
      <c r="Y106" s="69">
        <f>'DL 1'!G107</f>
        <v>0</v>
      </c>
      <c r="AC106" t="str">
        <f>IFERROR(VLOOKUP(Y106,Data!$G$65:$L$69,2,0) *X106,"")</f>
        <v/>
      </c>
      <c r="AD106" s="7">
        <f t="shared" si="15"/>
        <v>0</v>
      </c>
      <c r="AE106">
        <f>'DL 1'!F107</f>
        <v>0</v>
      </c>
      <c r="AF106" t="str">
        <f>IFERROR(VLOOKUP(Y106,Data!$G$65:$K$79,4,0),"")</f>
        <v/>
      </c>
      <c r="AG106" s="51" t="e">
        <f>#REF!</f>
        <v>#REF!</v>
      </c>
      <c r="AK106">
        <f t="shared" si="16"/>
        <v>0</v>
      </c>
      <c r="AL106">
        <f t="shared" si="17"/>
        <v>0</v>
      </c>
      <c r="AM106" s="70">
        <f t="shared" si="18"/>
        <v>0</v>
      </c>
      <c r="AN106" s="7" t="b">
        <f t="shared" si="19"/>
        <v>0</v>
      </c>
    </row>
    <row r="107" spans="1:40" x14ac:dyDescent="0.3">
      <c r="A107" s="50">
        <f>IF(D107="A",_xlfn.IFNA(INDEX(Data!$H$24:$J$28,MATCH('DL 1'!E108,Data!$G$24:$G$28,1),MATCH('DL 1'!D108,Data!$H$23:$J$23,1)),0),0)</f>
        <v>0</v>
      </c>
      <c r="B107">
        <f>IF('DL 1'!F108="Y",Q107,0)</f>
        <v>0</v>
      </c>
      <c r="C107" t="e">
        <f>_xlfn.IFNA(INDEX(Data!$H$24:$J$28,MATCH(#REF!,Data!$G$24:$G$28,1),MATCH(#REF!,Data!$H$23:$J$23,1)),0)</f>
        <v>#REF!</v>
      </c>
      <c r="D107" t="str">
        <f>RIGHT(TRIM('DL 1'!G108),1)</f>
        <v/>
      </c>
      <c r="E107" s="8">
        <f>'DL 1'!E108*'DL 1'!D108</f>
        <v>0</v>
      </c>
      <c r="F107" t="str">
        <f>_xlfn.IFNA(VLOOKUP(TRIM('DL 1'!G108),Data!$A:$C,3,0),"")</f>
        <v/>
      </c>
      <c r="G107" s="7">
        <f>'DL 1'!E108</f>
        <v>0</v>
      </c>
      <c r="H107" s="21">
        <f>_xlfn.IFNA(VLOOKUP(TRIM('DL 1'!G108),Data!$A:$D,4,0),0)</f>
        <v>0</v>
      </c>
      <c r="I107">
        <f>_xlfn.IFNA(INDEX(Data!$G$5:$K$10,MATCH('DL 1'!D108,Data!$F$5:$F$10,1),MATCH(_xlfn.SINGLE(#REF!),Data!$G$4:$K$4,1)),0)</f>
        <v>0</v>
      </c>
      <c r="J107">
        <f>_xlfn.IFNA(IF(VLOOKUP(TRIM('DL 1'!G108),Data!$A:$C,3,0)="ST1",H107*I107*G107,IF(VLOOKUP(TRIM('DL 1'!G108),Data!$A:$C,3,0)="IR0",H107*G107,MIN(H107:I107)*G107)),0)</f>
        <v>0</v>
      </c>
      <c r="K107" t="e">
        <f>_xlfn.IFNA(VLOOKUP(TRIM(#REF!),Data!$A:$D,4,0)*#REF!,0)</f>
        <v>#REF!</v>
      </c>
      <c r="L107">
        <f>IF(TRIM('DL 1'!G108)="EDCLNHT0IRNLI",20000,0)</f>
        <v>0</v>
      </c>
      <c r="M107">
        <f>IF(ISERROR(MATCH('DL 1'!A108,#REF!,0)),0,J107*2)</f>
        <v>0</v>
      </c>
      <c r="N107" t="e">
        <f>#REF!</f>
        <v>#REF!</v>
      </c>
      <c r="O107">
        <f>_xlfn.IFNA(VLOOKUP(RIGHT(VLOOKUP(TRIM('DL 1'!G108),Data!$A:$B,2,0),1),Data!$L$23:$M$30,2,0),0)</f>
        <v>0</v>
      </c>
      <c r="P107">
        <f t="shared" si="20"/>
        <v>0</v>
      </c>
      <c r="Q107" s="7" t="b">
        <f t="shared" si="11"/>
        <v>0</v>
      </c>
      <c r="R107" s="27">
        <f>INCENTIVE!$E$8</f>
        <v>130000000</v>
      </c>
      <c r="S107">
        <f>'DL 1'!D108</f>
        <v>0</v>
      </c>
      <c r="T107" t="str">
        <f t="shared" si="12"/>
        <v>1</v>
      </c>
      <c r="V107" t="str">
        <f t="shared" si="13"/>
        <v>1</v>
      </c>
      <c r="W107">
        <f t="shared" si="14"/>
        <v>0.25</v>
      </c>
      <c r="X107" s="7">
        <f>'DL 1'!E108</f>
        <v>0</v>
      </c>
      <c r="Y107" s="69">
        <f>'DL 1'!G108</f>
        <v>0</v>
      </c>
      <c r="AC107" t="str">
        <f>IFERROR(VLOOKUP(Y107,Data!$G$65:$L$69,2,0) *X107,"")</f>
        <v/>
      </c>
      <c r="AD107" s="7">
        <f t="shared" si="15"/>
        <v>0</v>
      </c>
      <c r="AE107">
        <f>'DL 1'!F108</f>
        <v>0</v>
      </c>
      <c r="AF107" t="str">
        <f>IFERROR(VLOOKUP(Y107,Data!$G$65:$K$79,4,0),"")</f>
        <v/>
      </c>
      <c r="AG107" s="51" t="e">
        <f>#REF!</f>
        <v>#REF!</v>
      </c>
      <c r="AK107">
        <f t="shared" si="16"/>
        <v>0</v>
      </c>
      <c r="AL107">
        <f t="shared" si="17"/>
        <v>0</v>
      </c>
      <c r="AM107" s="70">
        <f t="shared" si="18"/>
        <v>0</v>
      </c>
      <c r="AN107" s="7" t="b">
        <f t="shared" si="19"/>
        <v>0</v>
      </c>
    </row>
    <row r="108" spans="1:40" x14ac:dyDescent="0.3">
      <c r="A108" s="50">
        <f>IF(D108="A",_xlfn.IFNA(INDEX(Data!$H$24:$J$28,MATCH('DL 1'!E109,Data!$G$24:$G$28,1),MATCH('DL 1'!D109,Data!$H$23:$J$23,1)),0),0)</f>
        <v>0</v>
      </c>
      <c r="B108">
        <f>IF('DL 1'!F109="Y",Q108,0)</f>
        <v>0</v>
      </c>
      <c r="C108" t="e">
        <f>_xlfn.IFNA(INDEX(Data!$H$24:$J$28,MATCH(#REF!,Data!$G$24:$G$28,1),MATCH(#REF!,Data!$H$23:$J$23,1)),0)</f>
        <v>#REF!</v>
      </c>
      <c r="D108" t="str">
        <f>RIGHT(TRIM('DL 1'!G109),1)</f>
        <v/>
      </c>
      <c r="E108" s="8">
        <f>'DL 1'!E109*'DL 1'!D109</f>
        <v>0</v>
      </c>
      <c r="F108" t="str">
        <f>_xlfn.IFNA(VLOOKUP(TRIM('DL 1'!G109),Data!$A:$C,3,0),"")</f>
        <v/>
      </c>
      <c r="G108" s="7">
        <f>'DL 1'!E109</f>
        <v>0</v>
      </c>
      <c r="H108" s="21">
        <f>_xlfn.IFNA(VLOOKUP(TRIM('DL 1'!G109),Data!$A:$D,4,0),0)</f>
        <v>0</v>
      </c>
      <c r="I108">
        <f>_xlfn.IFNA(INDEX(Data!$G$5:$K$10,MATCH('DL 1'!D109,Data!$F$5:$F$10,1),MATCH(_xlfn.SINGLE(#REF!),Data!$G$4:$K$4,1)),0)</f>
        <v>0</v>
      </c>
      <c r="J108">
        <f>_xlfn.IFNA(IF(VLOOKUP(TRIM('DL 1'!G109),Data!$A:$C,3,0)="ST1",H108*I108*G108,IF(VLOOKUP(TRIM('DL 1'!G109),Data!$A:$C,3,0)="IR0",H108*G108,MIN(H108:I108)*G108)),0)</f>
        <v>0</v>
      </c>
      <c r="K108" t="e">
        <f>_xlfn.IFNA(VLOOKUP(TRIM(#REF!),Data!$A:$D,4,0)*#REF!,0)</f>
        <v>#REF!</v>
      </c>
      <c r="L108">
        <f>IF(TRIM('DL 1'!G109)="EDCLNHT0IRNLI",20000,0)</f>
        <v>0</v>
      </c>
      <c r="M108">
        <f>IF(ISERROR(MATCH('DL 1'!A109,#REF!,0)),0,J108*2)</f>
        <v>0</v>
      </c>
      <c r="N108" t="e">
        <f>#REF!</f>
        <v>#REF!</v>
      </c>
      <c r="O108">
        <f>_xlfn.IFNA(VLOOKUP(RIGHT(VLOOKUP(TRIM('DL 1'!G109),Data!$A:$B,2,0),1),Data!$L$23:$M$30,2,0),0)</f>
        <v>0</v>
      </c>
      <c r="P108">
        <f t="shared" si="20"/>
        <v>0</v>
      </c>
      <c r="Q108" s="7" t="b">
        <f t="shared" si="11"/>
        <v>0</v>
      </c>
      <c r="R108" s="27">
        <f>INCENTIVE!$E$8</f>
        <v>130000000</v>
      </c>
      <c r="S108">
        <f>'DL 1'!D109</f>
        <v>0</v>
      </c>
      <c r="T108" t="str">
        <f t="shared" si="12"/>
        <v>1</v>
      </c>
      <c r="V108" t="str">
        <f t="shared" si="13"/>
        <v>1</v>
      </c>
      <c r="W108">
        <f t="shared" si="14"/>
        <v>0.25</v>
      </c>
      <c r="X108" s="7">
        <f>'DL 1'!E109</f>
        <v>0</v>
      </c>
      <c r="Y108" s="69">
        <f>'DL 1'!G109</f>
        <v>0</v>
      </c>
      <c r="AC108" t="str">
        <f>IFERROR(VLOOKUP(Y108,Data!$G$65:$L$69,2,0) *X108,"")</f>
        <v/>
      </c>
      <c r="AD108" s="7">
        <f t="shared" si="15"/>
        <v>0</v>
      </c>
      <c r="AE108">
        <f>'DL 1'!F109</f>
        <v>0</v>
      </c>
      <c r="AF108" t="str">
        <f>IFERROR(VLOOKUP(Y108,Data!$G$65:$K$79,4,0),"")</f>
        <v/>
      </c>
      <c r="AG108" s="51" t="e">
        <f>#REF!</f>
        <v>#REF!</v>
      </c>
      <c r="AK108">
        <f t="shared" si="16"/>
        <v>0</v>
      </c>
      <c r="AL108">
        <f t="shared" si="17"/>
        <v>0</v>
      </c>
      <c r="AM108" s="70">
        <f t="shared" si="18"/>
        <v>0</v>
      </c>
      <c r="AN108" s="7" t="b">
        <f t="shared" si="19"/>
        <v>0</v>
      </c>
    </row>
    <row r="109" spans="1:40" x14ac:dyDescent="0.3">
      <c r="A109" s="50">
        <f>IF(D109="A",_xlfn.IFNA(INDEX(Data!$H$24:$J$28,MATCH('DL 1'!E110,Data!$G$24:$G$28,1),MATCH('DL 1'!D110,Data!$H$23:$J$23,1)),0),0)</f>
        <v>0</v>
      </c>
      <c r="B109">
        <f>IF('DL 1'!F110="Y",Q109,0)</f>
        <v>0</v>
      </c>
      <c r="C109" t="e">
        <f>_xlfn.IFNA(INDEX(Data!$H$24:$J$28,MATCH(#REF!,Data!$G$24:$G$28,1),MATCH(#REF!,Data!$H$23:$J$23,1)),0)</f>
        <v>#REF!</v>
      </c>
      <c r="D109" t="str">
        <f>RIGHT(TRIM('DL 1'!G110),1)</f>
        <v/>
      </c>
      <c r="E109" s="8">
        <f>'DL 1'!E110*'DL 1'!D110</f>
        <v>0</v>
      </c>
      <c r="F109" t="str">
        <f>_xlfn.IFNA(VLOOKUP(TRIM('DL 1'!G110),Data!$A:$C,3,0),"")</f>
        <v/>
      </c>
      <c r="G109" s="7">
        <f>'DL 1'!E110</f>
        <v>0</v>
      </c>
      <c r="H109" s="21">
        <f>_xlfn.IFNA(VLOOKUP(TRIM('DL 1'!G110),Data!$A:$D,4,0),0)</f>
        <v>0</v>
      </c>
      <c r="I109">
        <f>_xlfn.IFNA(INDEX(Data!$G$5:$K$10,MATCH('DL 1'!D110,Data!$F$5:$F$10,1),MATCH(_xlfn.SINGLE(#REF!),Data!$G$4:$K$4,1)),0)</f>
        <v>0</v>
      </c>
      <c r="J109">
        <f>_xlfn.IFNA(IF(VLOOKUP(TRIM('DL 1'!G110),Data!$A:$C,3,0)="ST1",H109*I109*G109,IF(VLOOKUP(TRIM('DL 1'!G110),Data!$A:$C,3,0)="IR0",H109*G109,MIN(H109:I109)*G109)),0)</f>
        <v>0</v>
      </c>
      <c r="K109" t="e">
        <f>_xlfn.IFNA(VLOOKUP(TRIM(#REF!),Data!$A:$D,4,0)*#REF!,0)</f>
        <v>#REF!</v>
      </c>
      <c r="L109">
        <f>IF(TRIM('DL 1'!G110)="EDCLNHT0IRNLI",20000,0)</f>
        <v>0</v>
      </c>
      <c r="M109">
        <f>IF(ISERROR(MATCH('DL 1'!A110,#REF!,0)),0,J109*2)</f>
        <v>0</v>
      </c>
      <c r="N109" t="e">
        <f>#REF!</f>
        <v>#REF!</v>
      </c>
      <c r="O109">
        <f>_xlfn.IFNA(VLOOKUP(RIGHT(VLOOKUP(TRIM('DL 1'!G110),Data!$A:$B,2,0),1),Data!$L$23:$M$30,2,0),0)</f>
        <v>0</v>
      </c>
      <c r="P109">
        <f t="shared" si="20"/>
        <v>0</v>
      </c>
      <c r="Q109" s="7" t="b">
        <f t="shared" si="11"/>
        <v>0</v>
      </c>
      <c r="R109" s="27">
        <f>INCENTIVE!$E$8</f>
        <v>130000000</v>
      </c>
      <c r="S109">
        <f>'DL 1'!D110</f>
        <v>0</v>
      </c>
      <c r="T109" t="str">
        <f t="shared" si="12"/>
        <v>1</v>
      </c>
      <c r="V109" t="str">
        <f t="shared" si="13"/>
        <v>1</v>
      </c>
      <c r="W109">
        <f t="shared" si="14"/>
        <v>0.25</v>
      </c>
      <c r="X109" s="7">
        <f>'DL 1'!E110</f>
        <v>0</v>
      </c>
      <c r="Y109" s="69">
        <f>'DL 1'!G110</f>
        <v>0</v>
      </c>
      <c r="AC109" t="str">
        <f>IFERROR(VLOOKUP(Y109,Data!$G$65:$L$69,2,0) *X109,"")</f>
        <v/>
      </c>
      <c r="AD109" s="7">
        <f t="shared" si="15"/>
        <v>0</v>
      </c>
      <c r="AE109">
        <f>'DL 1'!F110</f>
        <v>0</v>
      </c>
      <c r="AF109" t="str">
        <f>IFERROR(VLOOKUP(Y109,Data!$G$65:$K$79,4,0),"")</f>
        <v/>
      </c>
      <c r="AG109" s="51" t="e">
        <f>#REF!</f>
        <v>#REF!</v>
      </c>
      <c r="AK109">
        <f t="shared" si="16"/>
        <v>0</v>
      </c>
      <c r="AL109">
        <f t="shared" si="17"/>
        <v>0</v>
      </c>
      <c r="AM109" s="70">
        <f t="shared" si="18"/>
        <v>0</v>
      </c>
      <c r="AN109" s="7" t="b">
        <f t="shared" si="19"/>
        <v>0</v>
      </c>
    </row>
    <row r="110" spans="1:40" x14ac:dyDescent="0.3">
      <c r="A110" s="50">
        <f>IF(D110="A",_xlfn.IFNA(INDEX(Data!$H$24:$J$28,MATCH('DL 1'!E111,Data!$G$24:$G$28,1),MATCH('DL 1'!D111,Data!$H$23:$J$23,1)),0),0)</f>
        <v>0</v>
      </c>
      <c r="B110">
        <f>IF('DL 1'!F111="Y",Q110,0)</f>
        <v>0</v>
      </c>
      <c r="C110" t="e">
        <f>_xlfn.IFNA(INDEX(Data!$H$24:$J$28,MATCH(#REF!,Data!$G$24:$G$28,1),MATCH(#REF!,Data!$H$23:$J$23,1)),0)</f>
        <v>#REF!</v>
      </c>
      <c r="D110" t="str">
        <f>RIGHT(TRIM('DL 1'!G111),1)</f>
        <v/>
      </c>
      <c r="E110" s="8">
        <f>'DL 1'!E111*'DL 1'!D111</f>
        <v>0</v>
      </c>
      <c r="F110" t="str">
        <f>_xlfn.IFNA(VLOOKUP(TRIM('DL 1'!G111),Data!$A:$C,3,0),"")</f>
        <v/>
      </c>
      <c r="G110" s="7">
        <f>'DL 1'!E111</f>
        <v>0</v>
      </c>
      <c r="H110" s="21">
        <f>_xlfn.IFNA(VLOOKUP(TRIM('DL 1'!G111),Data!$A:$D,4,0),0)</f>
        <v>0</v>
      </c>
      <c r="I110">
        <f>_xlfn.IFNA(INDEX(Data!$G$5:$K$10,MATCH('DL 1'!D111,Data!$F$5:$F$10,1),MATCH(_xlfn.SINGLE(#REF!),Data!$G$4:$K$4,1)),0)</f>
        <v>0</v>
      </c>
      <c r="J110">
        <f>_xlfn.IFNA(IF(VLOOKUP(TRIM('DL 1'!G111),Data!$A:$C,3,0)="ST1",H110*I110*G110,IF(VLOOKUP(TRIM('DL 1'!G111),Data!$A:$C,3,0)="IR0",H110*G110,MIN(H110:I110)*G110)),0)</f>
        <v>0</v>
      </c>
      <c r="K110" t="e">
        <f>_xlfn.IFNA(VLOOKUP(TRIM(#REF!),Data!$A:$D,4,0)*#REF!,0)</f>
        <v>#REF!</v>
      </c>
      <c r="L110">
        <f>IF(TRIM('DL 1'!G111)="EDCLNHT0IRNLI",20000,0)</f>
        <v>0</v>
      </c>
      <c r="M110">
        <f>IF(ISERROR(MATCH('DL 1'!A111,#REF!,0)),0,J110*2)</f>
        <v>0</v>
      </c>
      <c r="N110" t="e">
        <f>#REF!</f>
        <v>#REF!</v>
      </c>
      <c r="O110">
        <f>_xlfn.IFNA(VLOOKUP(RIGHT(VLOOKUP(TRIM('DL 1'!G111),Data!$A:$B,2,0),1),Data!$L$23:$M$30,2,0),0)</f>
        <v>0</v>
      </c>
      <c r="P110">
        <f t="shared" si="20"/>
        <v>0</v>
      </c>
      <c r="Q110" s="7" t="b">
        <f t="shared" si="11"/>
        <v>0</v>
      </c>
      <c r="R110" s="27">
        <f>INCENTIVE!$E$8</f>
        <v>130000000</v>
      </c>
      <c r="S110">
        <f>'DL 1'!D111</f>
        <v>0</v>
      </c>
      <c r="T110" t="str">
        <f t="shared" si="12"/>
        <v>1</v>
      </c>
      <c r="V110" t="str">
        <f t="shared" si="13"/>
        <v>1</v>
      </c>
      <c r="W110">
        <f t="shared" si="14"/>
        <v>0.25</v>
      </c>
      <c r="X110" s="7">
        <f>'DL 1'!E111</f>
        <v>0</v>
      </c>
      <c r="Y110" s="69">
        <f>'DL 1'!G111</f>
        <v>0</v>
      </c>
      <c r="AC110" t="str">
        <f>IFERROR(VLOOKUP(Y110,Data!$G$65:$L$69,2,0) *X110,"")</f>
        <v/>
      </c>
      <c r="AD110" s="7">
        <f t="shared" si="15"/>
        <v>0</v>
      </c>
      <c r="AE110">
        <f>'DL 1'!F111</f>
        <v>0</v>
      </c>
      <c r="AF110" t="str">
        <f>IFERROR(VLOOKUP(Y110,Data!$G$65:$K$79,4,0),"")</f>
        <v/>
      </c>
      <c r="AG110" s="51" t="e">
        <f>#REF!</f>
        <v>#REF!</v>
      </c>
      <c r="AK110">
        <f t="shared" si="16"/>
        <v>0</v>
      </c>
      <c r="AL110">
        <f t="shared" si="17"/>
        <v>0</v>
      </c>
      <c r="AM110" s="70">
        <f t="shared" si="18"/>
        <v>0</v>
      </c>
      <c r="AN110" s="7" t="b">
        <f t="shared" si="19"/>
        <v>0</v>
      </c>
    </row>
    <row r="111" spans="1:40" x14ac:dyDescent="0.3">
      <c r="A111" s="50">
        <f>IF(D111="A",_xlfn.IFNA(INDEX(Data!$H$24:$J$28,MATCH('DL 1'!E112,Data!$G$24:$G$28,1),MATCH('DL 1'!D112,Data!$H$23:$J$23,1)),0),0)</f>
        <v>0</v>
      </c>
      <c r="B111">
        <f>IF('DL 1'!F112="Y",Q111,0)</f>
        <v>0</v>
      </c>
      <c r="C111" t="e">
        <f>_xlfn.IFNA(INDEX(Data!$H$24:$J$28,MATCH(#REF!,Data!$G$24:$G$28,1),MATCH(#REF!,Data!$H$23:$J$23,1)),0)</f>
        <v>#REF!</v>
      </c>
      <c r="D111" t="str">
        <f>RIGHT(TRIM('DL 1'!G112),1)</f>
        <v/>
      </c>
      <c r="E111" s="8">
        <f>'DL 1'!E112*'DL 1'!D112</f>
        <v>0</v>
      </c>
      <c r="F111" t="str">
        <f>_xlfn.IFNA(VLOOKUP(TRIM('DL 1'!G112),Data!$A:$C,3,0),"")</f>
        <v/>
      </c>
      <c r="G111" s="7">
        <f>'DL 1'!E112</f>
        <v>0</v>
      </c>
      <c r="H111" s="21">
        <f>_xlfn.IFNA(VLOOKUP(TRIM('DL 1'!G112),Data!$A:$D,4,0),0)</f>
        <v>0</v>
      </c>
      <c r="I111">
        <f>_xlfn.IFNA(INDEX(Data!$G$5:$K$10,MATCH('DL 1'!D112,Data!$F$5:$F$10,1),MATCH(_xlfn.SINGLE(#REF!),Data!$G$4:$K$4,1)),0)</f>
        <v>0</v>
      </c>
      <c r="J111">
        <f>_xlfn.IFNA(IF(VLOOKUP(TRIM('DL 1'!G112),Data!$A:$C,3,0)="ST1",H111*I111*G111,IF(VLOOKUP(TRIM('DL 1'!G112),Data!$A:$C,3,0)="IR0",H111*G111,MIN(H111:I111)*G111)),0)</f>
        <v>0</v>
      </c>
      <c r="K111" t="e">
        <f>_xlfn.IFNA(VLOOKUP(TRIM(#REF!),Data!$A:$D,4,0)*#REF!,0)</f>
        <v>#REF!</v>
      </c>
      <c r="L111">
        <f>IF(TRIM('DL 1'!G112)="EDCLNHT0IRNLI",20000,0)</f>
        <v>0</v>
      </c>
      <c r="M111">
        <f>IF(ISERROR(MATCH('DL 1'!A112,#REF!,0)),0,J111*2)</f>
        <v>0</v>
      </c>
      <c r="N111" t="e">
        <f>#REF!</f>
        <v>#REF!</v>
      </c>
      <c r="O111">
        <f>_xlfn.IFNA(VLOOKUP(RIGHT(VLOOKUP(TRIM('DL 1'!G112),Data!$A:$B,2,0),1),Data!$L$23:$M$30,2,0),0)</f>
        <v>0</v>
      </c>
      <c r="P111">
        <f t="shared" si="20"/>
        <v>0</v>
      </c>
      <c r="Q111" s="7" t="b">
        <f t="shared" si="11"/>
        <v>0</v>
      </c>
      <c r="R111" s="27">
        <f>INCENTIVE!$E$8</f>
        <v>130000000</v>
      </c>
      <c r="S111">
        <f>'DL 1'!D112</f>
        <v>0</v>
      </c>
      <c r="T111" t="str">
        <f t="shared" si="12"/>
        <v>1</v>
      </c>
      <c r="V111" t="str">
        <f t="shared" si="13"/>
        <v>1</v>
      </c>
      <c r="W111">
        <f t="shared" si="14"/>
        <v>0.25</v>
      </c>
      <c r="X111" s="7">
        <f>'DL 1'!E112</f>
        <v>0</v>
      </c>
      <c r="Y111" s="69">
        <f>'DL 1'!G112</f>
        <v>0</v>
      </c>
      <c r="AC111" t="str">
        <f>IFERROR(VLOOKUP(Y111,Data!$G$65:$L$69,2,0) *X111,"")</f>
        <v/>
      </c>
      <c r="AD111" s="7">
        <f t="shared" si="15"/>
        <v>0</v>
      </c>
      <c r="AE111">
        <f>'DL 1'!F112</f>
        <v>0</v>
      </c>
      <c r="AF111" t="str">
        <f>IFERROR(VLOOKUP(Y111,Data!$G$65:$K$79,4,0),"")</f>
        <v/>
      </c>
      <c r="AG111" s="51" t="e">
        <f>#REF!</f>
        <v>#REF!</v>
      </c>
      <c r="AK111">
        <f t="shared" si="16"/>
        <v>0</v>
      </c>
      <c r="AL111">
        <f t="shared" si="17"/>
        <v>0</v>
      </c>
      <c r="AM111" s="70">
        <f t="shared" si="18"/>
        <v>0</v>
      </c>
      <c r="AN111" s="7" t="b">
        <f t="shared" si="19"/>
        <v>0</v>
      </c>
    </row>
    <row r="112" spans="1:40" x14ac:dyDescent="0.3">
      <c r="A112" s="50">
        <f>IF(D112="A",_xlfn.IFNA(INDEX(Data!$H$24:$J$28,MATCH('DL 1'!E113,Data!$G$24:$G$28,1),MATCH('DL 1'!D113,Data!$H$23:$J$23,1)),0),0)</f>
        <v>0</v>
      </c>
      <c r="B112">
        <f>IF('DL 1'!F113="Y",Q112,0)</f>
        <v>0</v>
      </c>
      <c r="C112" t="e">
        <f>_xlfn.IFNA(INDEX(Data!$H$24:$J$28,MATCH(#REF!,Data!$G$24:$G$28,1),MATCH(#REF!,Data!$H$23:$J$23,1)),0)</f>
        <v>#REF!</v>
      </c>
      <c r="D112" t="str">
        <f>RIGHT(TRIM('DL 1'!G113),1)</f>
        <v/>
      </c>
      <c r="E112" s="8">
        <f>'DL 1'!E113*'DL 1'!D113</f>
        <v>0</v>
      </c>
      <c r="F112" t="str">
        <f>_xlfn.IFNA(VLOOKUP(TRIM('DL 1'!G113),Data!$A:$C,3,0),"")</f>
        <v/>
      </c>
      <c r="G112" s="7">
        <f>'DL 1'!E113</f>
        <v>0</v>
      </c>
      <c r="H112" s="21">
        <f>_xlfn.IFNA(VLOOKUP(TRIM('DL 1'!G113),Data!$A:$D,4,0),0)</f>
        <v>0</v>
      </c>
      <c r="I112">
        <f>_xlfn.IFNA(INDEX(Data!$G$5:$K$10,MATCH('DL 1'!D113,Data!$F$5:$F$10,1),MATCH(_xlfn.SINGLE(#REF!),Data!$G$4:$K$4,1)),0)</f>
        <v>0</v>
      </c>
      <c r="J112">
        <f>_xlfn.IFNA(IF(VLOOKUP(TRIM('DL 1'!G113),Data!$A:$C,3,0)="ST1",H112*I112*G112,IF(VLOOKUP(TRIM('DL 1'!G113),Data!$A:$C,3,0)="IR0",H112*G112,MIN(H112:I112)*G112)),0)</f>
        <v>0</v>
      </c>
      <c r="K112" t="e">
        <f>_xlfn.IFNA(VLOOKUP(TRIM(#REF!),Data!$A:$D,4,0)*#REF!,0)</f>
        <v>#REF!</v>
      </c>
      <c r="L112">
        <f>IF(TRIM('DL 1'!G113)="EDCLNHT0IRNLI",20000,0)</f>
        <v>0</v>
      </c>
      <c r="M112">
        <f>IF(ISERROR(MATCH('DL 1'!A113,#REF!,0)),0,J112*2)</f>
        <v>0</v>
      </c>
      <c r="N112" t="e">
        <f>#REF!</f>
        <v>#REF!</v>
      </c>
      <c r="O112">
        <f>_xlfn.IFNA(VLOOKUP(RIGHT(VLOOKUP(TRIM('DL 1'!G113),Data!$A:$B,2,0),1),Data!$L$23:$M$30,2,0),0)</f>
        <v>0</v>
      </c>
      <c r="P112">
        <f t="shared" si="20"/>
        <v>0</v>
      </c>
      <c r="Q112" s="7" t="b">
        <f t="shared" si="11"/>
        <v>0</v>
      </c>
      <c r="R112" s="27">
        <f>INCENTIVE!$E$8</f>
        <v>130000000</v>
      </c>
      <c r="S112">
        <f>'DL 1'!D113</f>
        <v>0</v>
      </c>
      <c r="T112" t="str">
        <f t="shared" si="12"/>
        <v>1</v>
      </c>
      <c r="V112" t="str">
        <f t="shared" si="13"/>
        <v>1</v>
      </c>
      <c r="W112">
        <f t="shared" si="14"/>
        <v>0.25</v>
      </c>
      <c r="X112" s="7">
        <f>'DL 1'!E113</f>
        <v>0</v>
      </c>
      <c r="Y112" s="69">
        <f>'DL 1'!G113</f>
        <v>0</v>
      </c>
      <c r="AC112" t="str">
        <f>IFERROR(VLOOKUP(Y112,Data!$G$65:$L$69,2,0) *X112,"")</f>
        <v/>
      </c>
      <c r="AD112" s="7">
        <f t="shared" si="15"/>
        <v>0</v>
      </c>
      <c r="AE112">
        <f>'DL 1'!F113</f>
        <v>0</v>
      </c>
      <c r="AF112" t="str">
        <f>IFERROR(VLOOKUP(Y112,Data!$G$65:$K$79,4,0),"")</f>
        <v/>
      </c>
      <c r="AG112" s="51" t="e">
        <f>#REF!</f>
        <v>#REF!</v>
      </c>
      <c r="AK112">
        <f t="shared" si="16"/>
        <v>0</v>
      </c>
      <c r="AL112">
        <f t="shared" si="17"/>
        <v>0</v>
      </c>
      <c r="AM112" s="70">
        <f t="shared" si="18"/>
        <v>0</v>
      </c>
      <c r="AN112" s="7" t="b">
        <f t="shared" si="19"/>
        <v>0</v>
      </c>
    </row>
    <row r="113" spans="1:40" x14ac:dyDescent="0.3">
      <c r="A113" s="50">
        <f>IF(D113="A",_xlfn.IFNA(INDEX(Data!$H$24:$J$28,MATCH('DL 1'!E114,Data!$G$24:$G$28,1),MATCH('DL 1'!D114,Data!$H$23:$J$23,1)),0),0)</f>
        <v>0</v>
      </c>
      <c r="B113">
        <f>IF('DL 1'!F114="Y",Q113,0)</f>
        <v>0</v>
      </c>
      <c r="C113" t="e">
        <f>_xlfn.IFNA(INDEX(Data!$H$24:$J$28,MATCH(#REF!,Data!$G$24:$G$28,1),MATCH(#REF!,Data!$H$23:$J$23,1)),0)</f>
        <v>#REF!</v>
      </c>
      <c r="D113" t="str">
        <f>RIGHT(TRIM('DL 1'!G114),1)</f>
        <v/>
      </c>
      <c r="E113" s="8">
        <f>'DL 1'!E114*'DL 1'!D114</f>
        <v>0</v>
      </c>
      <c r="F113" t="str">
        <f>_xlfn.IFNA(VLOOKUP(TRIM('DL 1'!G114),Data!$A:$C,3,0),"")</f>
        <v/>
      </c>
      <c r="G113" s="7">
        <f>'DL 1'!E114</f>
        <v>0</v>
      </c>
      <c r="H113" s="21">
        <f>_xlfn.IFNA(VLOOKUP(TRIM('DL 1'!G114),Data!$A:$D,4,0),0)</f>
        <v>0</v>
      </c>
      <c r="I113">
        <f>_xlfn.IFNA(INDEX(Data!$G$5:$K$10,MATCH('DL 1'!D114,Data!$F$5:$F$10,1),MATCH(_xlfn.SINGLE(#REF!),Data!$G$4:$K$4,1)),0)</f>
        <v>0</v>
      </c>
      <c r="J113">
        <f>_xlfn.IFNA(IF(VLOOKUP(TRIM('DL 1'!G114),Data!$A:$C,3,0)="ST1",H113*I113*G113,IF(VLOOKUP(TRIM('DL 1'!G114),Data!$A:$C,3,0)="IR0",H113*G113,MIN(H113:I113)*G113)),0)</f>
        <v>0</v>
      </c>
      <c r="K113" t="e">
        <f>_xlfn.IFNA(VLOOKUP(TRIM(#REF!),Data!$A:$D,4,0)*#REF!,0)</f>
        <v>#REF!</v>
      </c>
      <c r="L113">
        <f>IF(TRIM('DL 1'!G114)="EDCLNHT0IRNLI",20000,0)</f>
        <v>0</v>
      </c>
      <c r="M113">
        <f>IF(ISERROR(MATCH('DL 1'!A114,#REF!,0)),0,J113*2)</f>
        <v>0</v>
      </c>
      <c r="N113" t="e">
        <f>#REF!</f>
        <v>#REF!</v>
      </c>
      <c r="O113">
        <f>_xlfn.IFNA(VLOOKUP(RIGHT(VLOOKUP(TRIM('DL 1'!G114),Data!$A:$B,2,0),1),Data!$L$23:$M$30,2,0),0)</f>
        <v>0</v>
      </c>
      <c r="P113">
        <f t="shared" si="20"/>
        <v>0</v>
      </c>
      <c r="Q113" s="7" t="b">
        <f t="shared" si="11"/>
        <v>0</v>
      </c>
      <c r="R113" s="27">
        <f>INCENTIVE!$E$8</f>
        <v>130000000</v>
      </c>
      <c r="S113">
        <f>'DL 1'!D114</f>
        <v>0</v>
      </c>
      <c r="T113" t="str">
        <f t="shared" si="12"/>
        <v>1</v>
      </c>
      <c r="V113" t="str">
        <f t="shared" si="13"/>
        <v>1</v>
      </c>
      <c r="W113">
        <f t="shared" si="14"/>
        <v>0.25</v>
      </c>
      <c r="X113" s="7">
        <f>'DL 1'!E114</f>
        <v>0</v>
      </c>
      <c r="Y113" s="69">
        <f>'DL 1'!G114</f>
        <v>0</v>
      </c>
      <c r="AC113" t="str">
        <f>IFERROR(VLOOKUP(Y113,Data!$G$65:$L$69,2,0) *X113,"")</f>
        <v/>
      </c>
      <c r="AD113" s="7">
        <f t="shared" si="15"/>
        <v>0</v>
      </c>
      <c r="AE113">
        <f>'DL 1'!F114</f>
        <v>0</v>
      </c>
      <c r="AF113" t="str">
        <f>IFERROR(VLOOKUP(Y113,Data!$G$65:$K$79,4,0),"")</f>
        <v/>
      </c>
      <c r="AG113" s="51" t="e">
        <f>#REF!</f>
        <v>#REF!</v>
      </c>
      <c r="AK113">
        <f t="shared" si="16"/>
        <v>0</v>
      </c>
      <c r="AL113">
        <f t="shared" si="17"/>
        <v>0</v>
      </c>
      <c r="AM113" s="70">
        <f t="shared" si="18"/>
        <v>0</v>
      </c>
      <c r="AN113" s="7" t="b">
        <f t="shared" si="19"/>
        <v>0</v>
      </c>
    </row>
    <row r="114" spans="1:40" x14ac:dyDescent="0.3">
      <c r="A114" s="50">
        <f>IF(D114="A",_xlfn.IFNA(INDEX(Data!$H$24:$J$28,MATCH('DL 1'!E115,Data!$G$24:$G$28,1),MATCH('DL 1'!D115,Data!$H$23:$J$23,1)),0),0)</f>
        <v>0</v>
      </c>
      <c r="B114">
        <f>IF('DL 1'!F115="Y",Q114,0)</f>
        <v>0</v>
      </c>
      <c r="C114" t="e">
        <f>_xlfn.IFNA(INDEX(Data!$H$24:$J$28,MATCH(#REF!,Data!$G$24:$G$28,1),MATCH(#REF!,Data!$H$23:$J$23,1)),0)</f>
        <v>#REF!</v>
      </c>
      <c r="D114" t="str">
        <f>RIGHT(TRIM('DL 1'!G115),1)</f>
        <v/>
      </c>
      <c r="E114" s="8">
        <f>'DL 1'!E115*'DL 1'!D115</f>
        <v>0</v>
      </c>
      <c r="F114" t="str">
        <f>_xlfn.IFNA(VLOOKUP(TRIM('DL 1'!G115),Data!$A:$C,3,0),"")</f>
        <v/>
      </c>
      <c r="G114" s="7">
        <f>'DL 1'!E115</f>
        <v>0</v>
      </c>
      <c r="H114" s="21">
        <f>_xlfn.IFNA(VLOOKUP(TRIM('DL 1'!G115),Data!$A:$D,4,0),0)</f>
        <v>0</v>
      </c>
      <c r="I114">
        <f>_xlfn.IFNA(INDEX(Data!$G$5:$K$10,MATCH('DL 1'!D115,Data!$F$5:$F$10,1),MATCH(_xlfn.SINGLE(#REF!),Data!$G$4:$K$4,1)),0)</f>
        <v>0</v>
      </c>
      <c r="J114">
        <f>_xlfn.IFNA(IF(VLOOKUP(TRIM('DL 1'!G115),Data!$A:$C,3,0)="ST1",H114*I114*G114,IF(VLOOKUP(TRIM('DL 1'!G115),Data!$A:$C,3,0)="IR0",H114*G114,MIN(H114:I114)*G114)),0)</f>
        <v>0</v>
      </c>
      <c r="K114" t="e">
        <f>_xlfn.IFNA(VLOOKUP(TRIM(#REF!),Data!$A:$D,4,0)*#REF!,0)</f>
        <v>#REF!</v>
      </c>
      <c r="L114">
        <f>IF(TRIM('DL 1'!G115)="EDCLNHT0IRNLI",20000,0)</f>
        <v>0</v>
      </c>
      <c r="M114">
        <f>IF(ISERROR(MATCH('DL 1'!A115,#REF!,0)),0,J114*2)</f>
        <v>0</v>
      </c>
      <c r="N114" t="e">
        <f>#REF!</f>
        <v>#REF!</v>
      </c>
      <c r="O114">
        <f>_xlfn.IFNA(VLOOKUP(RIGHT(VLOOKUP(TRIM('DL 1'!G115),Data!$A:$B,2,0),1),Data!$L$23:$M$30,2,0),0)</f>
        <v>0</v>
      </c>
      <c r="P114">
        <f t="shared" si="20"/>
        <v>0</v>
      </c>
      <c r="Q114" s="7" t="b">
        <f t="shared" si="11"/>
        <v>0</v>
      </c>
      <c r="R114" s="27">
        <f>INCENTIVE!$E$8</f>
        <v>130000000</v>
      </c>
      <c r="S114">
        <f>'DL 1'!D115</f>
        <v>0</v>
      </c>
      <c r="T114" t="str">
        <f t="shared" si="12"/>
        <v>1</v>
      </c>
      <c r="V114" t="str">
        <f t="shared" si="13"/>
        <v>1</v>
      </c>
      <c r="W114">
        <f t="shared" si="14"/>
        <v>0.25</v>
      </c>
      <c r="X114" s="7">
        <f>'DL 1'!E115</f>
        <v>0</v>
      </c>
      <c r="Y114" s="69">
        <f>'DL 1'!G115</f>
        <v>0</v>
      </c>
      <c r="AC114" t="str">
        <f>IFERROR(VLOOKUP(Y114,Data!$G$65:$L$69,2,0) *X114,"")</f>
        <v/>
      </c>
      <c r="AD114" s="7">
        <f t="shared" si="15"/>
        <v>0</v>
      </c>
      <c r="AE114">
        <f>'DL 1'!F115</f>
        <v>0</v>
      </c>
      <c r="AF114" t="str">
        <f>IFERROR(VLOOKUP(Y114,Data!$G$65:$K$79,4,0),"")</f>
        <v/>
      </c>
      <c r="AG114" s="51" t="e">
        <f>#REF!</f>
        <v>#REF!</v>
      </c>
      <c r="AK114">
        <f t="shared" si="16"/>
        <v>0</v>
      </c>
      <c r="AL114">
        <f t="shared" si="17"/>
        <v>0</v>
      </c>
      <c r="AM114" s="70">
        <f t="shared" si="18"/>
        <v>0</v>
      </c>
      <c r="AN114" s="7" t="b">
        <f t="shared" si="19"/>
        <v>0</v>
      </c>
    </row>
    <row r="115" spans="1:40" x14ac:dyDescent="0.3">
      <c r="A115" s="50">
        <f>IF(D115="A",_xlfn.IFNA(INDEX(Data!$H$24:$J$28,MATCH('DL 1'!E116,Data!$G$24:$G$28,1),MATCH('DL 1'!D116,Data!$H$23:$J$23,1)),0),0)</f>
        <v>0</v>
      </c>
      <c r="B115">
        <f>IF('DL 1'!F116="Y",Q115,0)</f>
        <v>0</v>
      </c>
      <c r="C115" t="e">
        <f>_xlfn.IFNA(INDEX(Data!$H$24:$J$28,MATCH(#REF!,Data!$G$24:$G$28,1),MATCH(#REF!,Data!$H$23:$J$23,1)),0)</f>
        <v>#REF!</v>
      </c>
      <c r="D115" t="str">
        <f>RIGHT(TRIM('DL 1'!G116),1)</f>
        <v/>
      </c>
      <c r="E115" s="8">
        <f>'DL 1'!E116*'DL 1'!D116</f>
        <v>0</v>
      </c>
      <c r="F115" t="str">
        <f>_xlfn.IFNA(VLOOKUP(TRIM('DL 1'!G116),Data!$A:$C,3,0),"")</f>
        <v/>
      </c>
      <c r="G115" s="7">
        <f>'DL 1'!E116</f>
        <v>0</v>
      </c>
      <c r="H115" s="21">
        <f>_xlfn.IFNA(VLOOKUP(TRIM('DL 1'!G116),Data!$A:$D,4,0),0)</f>
        <v>0</v>
      </c>
      <c r="I115">
        <f>_xlfn.IFNA(INDEX(Data!$G$5:$K$10,MATCH('DL 1'!D116,Data!$F$5:$F$10,1),MATCH(_xlfn.SINGLE(#REF!),Data!$G$4:$K$4,1)),0)</f>
        <v>0</v>
      </c>
      <c r="J115">
        <f>_xlfn.IFNA(IF(VLOOKUP(TRIM('DL 1'!G116),Data!$A:$C,3,0)="ST1",H115*I115*G115,IF(VLOOKUP(TRIM('DL 1'!G116),Data!$A:$C,3,0)="IR0",H115*G115,MIN(H115:I115)*G115)),0)</f>
        <v>0</v>
      </c>
      <c r="K115" t="e">
        <f>_xlfn.IFNA(VLOOKUP(TRIM(#REF!),Data!$A:$D,4,0)*#REF!,0)</f>
        <v>#REF!</v>
      </c>
      <c r="L115">
        <f>IF(TRIM('DL 1'!G116)="EDCLNHT0IRNLI",20000,0)</f>
        <v>0</v>
      </c>
      <c r="M115">
        <f>IF(ISERROR(MATCH('DL 1'!A116,#REF!,0)),0,J115*2)</f>
        <v>0</v>
      </c>
      <c r="N115" t="e">
        <f>#REF!</f>
        <v>#REF!</v>
      </c>
      <c r="O115">
        <f>_xlfn.IFNA(VLOOKUP(RIGHT(VLOOKUP(TRIM('DL 1'!G116),Data!$A:$B,2,0),1),Data!$L$23:$M$30,2,0),0)</f>
        <v>0</v>
      </c>
      <c r="P115">
        <f t="shared" si="20"/>
        <v>0</v>
      </c>
      <c r="Q115" s="7" t="b">
        <f t="shared" si="11"/>
        <v>0</v>
      </c>
      <c r="R115" s="27">
        <f>INCENTIVE!$E$8</f>
        <v>130000000</v>
      </c>
      <c r="S115">
        <f>'DL 1'!D116</f>
        <v>0</v>
      </c>
      <c r="T115" t="str">
        <f t="shared" si="12"/>
        <v>1</v>
      </c>
      <c r="V115" t="str">
        <f t="shared" si="13"/>
        <v>1</v>
      </c>
      <c r="W115">
        <f t="shared" si="14"/>
        <v>0.25</v>
      </c>
      <c r="X115" s="7">
        <f>'DL 1'!E116</f>
        <v>0</v>
      </c>
      <c r="Y115" s="69">
        <f>'DL 1'!G116</f>
        <v>0</v>
      </c>
      <c r="AC115" t="str">
        <f>IFERROR(VLOOKUP(Y115,Data!$G$65:$K$79,2,0) *X115,"")</f>
        <v/>
      </c>
      <c r="AD115" s="7">
        <f t="shared" si="15"/>
        <v>0</v>
      </c>
      <c r="AE115">
        <f>'DL 1'!F116</f>
        <v>0</v>
      </c>
      <c r="AF115" t="str">
        <f>IFERROR(VLOOKUP(Y115,Data!$G$65:$K$79,4,0),"")</f>
        <v/>
      </c>
      <c r="AG115" s="51" t="e">
        <f>#REF!</f>
        <v>#REF!</v>
      </c>
      <c r="AK115">
        <f t="shared" si="16"/>
        <v>0</v>
      </c>
      <c r="AL115">
        <f t="shared" si="17"/>
        <v>0</v>
      </c>
      <c r="AM115" s="70">
        <f t="shared" si="18"/>
        <v>0</v>
      </c>
      <c r="AN115" s="7" t="b">
        <f t="shared" si="19"/>
        <v>0</v>
      </c>
    </row>
    <row r="116" spans="1:40" x14ac:dyDescent="0.3">
      <c r="A116" s="50">
        <f>IF(D116="A",_xlfn.IFNA(INDEX(Data!$H$24:$J$28,MATCH('DL 1'!E117,Data!$G$24:$G$28,1),MATCH('DL 1'!D117,Data!$H$23:$J$23,1)),0),0)</f>
        <v>0</v>
      </c>
      <c r="B116">
        <f>IF('DL 1'!F117="Y",Q116,0)</f>
        <v>0</v>
      </c>
      <c r="C116" t="e">
        <f>_xlfn.IFNA(INDEX(Data!$H$24:$J$28,MATCH(#REF!,Data!$G$24:$G$28,1),MATCH(#REF!,Data!$H$23:$J$23,1)),0)</f>
        <v>#REF!</v>
      </c>
      <c r="D116" t="str">
        <f>RIGHT(TRIM('DL 1'!G117),1)</f>
        <v/>
      </c>
      <c r="E116" s="8">
        <f>'DL 1'!E117*'DL 1'!D117</f>
        <v>0</v>
      </c>
      <c r="F116" t="str">
        <f>_xlfn.IFNA(VLOOKUP(TRIM('DL 1'!G117),Data!$A:$C,3,0),"")</f>
        <v/>
      </c>
      <c r="G116" s="7">
        <f>'DL 1'!E117</f>
        <v>0</v>
      </c>
      <c r="H116" s="21">
        <f>_xlfn.IFNA(VLOOKUP(TRIM('DL 1'!G117),Data!$A:$D,4,0),0)</f>
        <v>0</v>
      </c>
      <c r="I116">
        <f>_xlfn.IFNA(INDEX(Data!$G$5:$K$10,MATCH('DL 1'!D117,Data!$F$5:$F$10,1),MATCH(_xlfn.SINGLE(#REF!),Data!$G$4:$K$4,1)),0)</f>
        <v>0</v>
      </c>
      <c r="J116">
        <f>_xlfn.IFNA(IF(VLOOKUP(TRIM('DL 1'!G117),Data!$A:$C,3,0)="ST1",H116*I116*G116,IF(VLOOKUP(TRIM('DL 1'!G117),Data!$A:$C,3,0)="IR0",H116*G116,MIN(H116:I116)*G116)),0)</f>
        <v>0</v>
      </c>
      <c r="K116" t="e">
        <f>_xlfn.IFNA(VLOOKUP(TRIM(#REF!),Data!$A:$D,4,0)*#REF!,0)</f>
        <v>#REF!</v>
      </c>
      <c r="L116">
        <f>IF(TRIM('DL 1'!G117)="EDCLNHT0IRNLI",20000,0)</f>
        <v>0</v>
      </c>
      <c r="M116">
        <f>IF(ISERROR(MATCH('DL 1'!A117,#REF!,0)),0,J116*2)</f>
        <v>0</v>
      </c>
      <c r="N116" t="e">
        <f>#REF!</f>
        <v>#REF!</v>
      </c>
      <c r="O116">
        <f>_xlfn.IFNA(VLOOKUP(RIGHT(VLOOKUP(TRIM('DL 1'!G117),Data!$A:$B,2,0),1),Data!$L$23:$M$30,2,0),0)</f>
        <v>0</v>
      </c>
      <c r="P116">
        <f t="shared" si="20"/>
        <v>0</v>
      </c>
      <c r="Q116" s="7" t="b">
        <f t="shared" si="11"/>
        <v>0</v>
      </c>
      <c r="R116" s="27">
        <f>INCENTIVE!$E$8</f>
        <v>130000000</v>
      </c>
      <c r="S116">
        <f>'DL 1'!D117</f>
        <v>0</v>
      </c>
      <c r="T116" t="str">
        <f t="shared" si="12"/>
        <v>1</v>
      </c>
      <c r="V116" t="str">
        <f t="shared" si="13"/>
        <v>1</v>
      </c>
      <c r="W116">
        <f t="shared" si="14"/>
        <v>0.25</v>
      </c>
      <c r="X116" s="7">
        <f>'DL 1'!E117</f>
        <v>0</v>
      </c>
      <c r="Y116" s="69">
        <f>'DL 1'!G117</f>
        <v>0</v>
      </c>
      <c r="AC116" t="str">
        <f>IFERROR(VLOOKUP(Y116,Data!$G$65:$K$79,2,0) *X116,"")</f>
        <v/>
      </c>
      <c r="AD116" s="7">
        <f t="shared" si="15"/>
        <v>0</v>
      </c>
      <c r="AE116">
        <f>'DL 1'!F117</f>
        <v>0</v>
      </c>
      <c r="AF116" t="str">
        <f>IFERROR(VLOOKUP(Y116,Data!$G$65:$K$79,4,0),"")</f>
        <v/>
      </c>
      <c r="AG116" s="51" t="e">
        <f>#REF!</f>
        <v>#REF!</v>
      </c>
      <c r="AK116">
        <f t="shared" si="16"/>
        <v>0</v>
      </c>
      <c r="AL116">
        <f t="shared" si="17"/>
        <v>0</v>
      </c>
      <c r="AM116" s="70">
        <f t="shared" si="18"/>
        <v>0</v>
      </c>
      <c r="AN116" s="7" t="b">
        <f t="shared" si="19"/>
        <v>0</v>
      </c>
    </row>
    <row r="117" spans="1:40" x14ac:dyDescent="0.3">
      <c r="A117" s="50">
        <f>IF(D117="A",_xlfn.IFNA(INDEX(Data!$H$24:$J$28,MATCH('DL 1'!E118,Data!$G$24:$G$28,1),MATCH('DL 1'!D118,Data!$H$23:$J$23,1)),0),0)</f>
        <v>0</v>
      </c>
      <c r="B117">
        <f>IF('DL 1'!F118="Y",Q117,0)</f>
        <v>0</v>
      </c>
      <c r="C117" t="e">
        <f>_xlfn.IFNA(INDEX(Data!$H$24:$J$28,MATCH(#REF!,Data!$G$24:$G$28,1),MATCH(#REF!,Data!$H$23:$J$23,1)),0)</f>
        <v>#REF!</v>
      </c>
      <c r="D117" t="str">
        <f>RIGHT(TRIM('DL 1'!G118),1)</f>
        <v/>
      </c>
      <c r="E117" s="8">
        <f>'DL 1'!E118*'DL 1'!D118</f>
        <v>0</v>
      </c>
      <c r="F117" t="str">
        <f>_xlfn.IFNA(VLOOKUP(TRIM('DL 1'!G118),Data!$A:$C,3,0),"")</f>
        <v/>
      </c>
      <c r="G117" s="7">
        <f>'DL 1'!E118</f>
        <v>0</v>
      </c>
      <c r="H117" s="21">
        <f>_xlfn.IFNA(VLOOKUP(TRIM('DL 1'!G118),Data!$A:$D,4,0),0)</f>
        <v>0</v>
      </c>
      <c r="I117">
        <f>_xlfn.IFNA(INDEX(Data!$G$5:$K$10,MATCH('DL 1'!D118,Data!$F$5:$F$10,1),MATCH(_xlfn.SINGLE(#REF!),Data!$G$4:$K$4,1)),0)</f>
        <v>0</v>
      </c>
      <c r="J117">
        <f>_xlfn.IFNA(IF(VLOOKUP(TRIM('DL 1'!G118),Data!$A:$C,3,0)="ST1",H117*I117*G117,IF(VLOOKUP(TRIM('DL 1'!G118),Data!$A:$C,3,0)="IR0",H117*G117,MIN(H117:I117)*G117)),0)</f>
        <v>0</v>
      </c>
      <c r="K117" t="e">
        <f>_xlfn.IFNA(VLOOKUP(TRIM(#REF!),Data!$A:$D,4,0)*#REF!,0)</f>
        <v>#REF!</v>
      </c>
      <c r="L117">
        <f>IF(TRIM('DL 1'!G118)="EDCLNHT0IRNLI",20000,0)</f>
        <v>0</v>
      </c>
      <c r="M117">
        <f>IF(ISERROR(MATCH('DL 1'!A118,#REF!,0)),0,J117*2)</f>
        <v>0</v>
      </c>
      <c r="N117" t="e">
        <f>#REF!</f>
        <v>#REF!</v>
      </c>
      <c r="O117">
        <f>_xlfn.IFNA(VLOOKUP(RIGHT(VLOOKUP(TRIM('DL 1'!G118),Data!$A:$B,2,0),1),Data!$L$23:$M$30,2,0),0)</f>
        <v>0</v>
      </c>
      <c r="P117">
        <f t="shared" si="20"/>
        <v>0</v>
      </c>
      <c r="Q117" s="7" t="b">
        <f t="shared" si="11"/>
        <v>0</v>
      </c>
      <c r="R117" s="27">
        <f>INCENTIVE!$E$8</f>
        <v>130000000</v>
      </c>
      <c r="S117">
        <f>'DL 1'!D118</f>
        <v>0</v>
      </c>
      <c r="T117" t="str">
        <f t="shared" si="12"/>
        <v>1</v>
      </c>
      <c r="V117" t="str">
        <f t="shared" si="13"/>
        <v>1</v>
      </c>
      <c r="W117">
        <f t="shared" si="14"/>
        <v>0.25</v>
      </c>
      <c r="X117" s="7">
        <f>'DL 1'!E118</f>
        <v>0</v>
      </c>
      <c r="Y117" s="69">
        <f>'DL 1'!G118</f>
        <v>0</v>
      </c>
      <c r="AC117" t="str">
        <f>IFERROR(VLOOKUP(Y117,Data!$G$65:$K$79,2,0) *X117,"")</f>
        <v/>
      </c>
      <c r="AD117" s="7">
        <f t="shared" si="15"/>
        <v>0</v>
      </c>
      <c r="AE117">
        <f>'DL 1'!F118</f>
        <v>0</v>
      </c>
      <c r="AF117" t="str">
        <f>IFERROR(VLOOKUP(Y117,Data!$G$65:$K$79,4,0),"")</f>
        <v/>
      </c>
      <c r="AG117" s="51" t="e">
        <f>#REF!</f>
        <v>#REF!</v>
      </c>
      <c r="AK117">
        <f t="shared" si="16"/>
        <v>0</v>
      </c>
      <c r="AL117">
        <f t="shared" si="17"/>
        <v>0</v>
      </c>
      <c r="AM117" s="70">
        <f t="shared" si="18"/>
        <v>0</v>
      </c>
      <c r="AN117" s="7" t="b">
        <f t="shared" si="19"/>
        <v>0</v>
      </c>
    </row>
    <row r="118" spans="1:40" x14ac:dyDescent="0.3">
      <c r="A118" s="50">
        <f>IF(D118="A",_xlfn.IFNA(INDEX(Data!$H$24:$J$28,MATCH('DL 1'!E119,Data!$G$24:$G$28,1),MATCH('DL 1'!D119,Data!$H$23:$J$23,1)),0),0)</f>
        <v>0</v>
      </c>
      <c r="B118">
        <f>IF('DL 1'!F119="Y",Q118,0)</f>
        <v>0</v>
      </c>
      <c r="C118" t="e">
        <f>_xlfn.IFNA(INDEX(Data!$H$24:$J$28,MATCH(#REF!,Data!$G$24:$G$28,1),MATCH(#REF!,Data!$H$23:$J$23,1)),0)</f>
        <v>#REF!</v>
      </c>
      <c r="D118" t="str">
        <f>RIGHT(TRIM('DL 1'!G119),1)</f>
        <v/>
      </c>
      <c r="E118" s="8">
        <f>'DL 1'!E119*'DL 1'!D119</f>
        <v>0</v>
      </c>
      <c r="F118" t="str">
        <f>_xlfn.IFNA(VLOOKUP(TRIM('DL 1'!G119),Data!$A:$C,3,0),"")</f>
        <v/>
      </c>
      <c r="G118" s="7">
        <f>'DL 1'!E119</f>
        <v>0</v>
      </c>
      <c r="H118" s="21">
        <f>_xlfn.IFNA(VLOOKUP(TRIM('DL 1'!G119),Data!$A:$D,4,0),0)</f>
        <v>0</v>
      </c>
      <c r="I118">
        <f>_xlfn.IFNA(INDEX(Data!$G$5:$K$10,MATCH('DL 1'!D119,Data!$F$5:$F$10,1),MATCH(_xlfn.SINGLE(#REF!),Data!$G$4:$K$4,1)),0)</f>
        <v>0</v>
      </c>
      <c r="J118">
        <f>_xlfn.IFNA(IF(VLOOKUP(TRIM('DL 1'!G119),Data!$A:$C,3,0)="ST1",H118*I118*G118,IF(VLOOKUP(TRIM('DL 1'!G119),Data!$A:$C,3,0)="IR0",H118*G118,MIN(H118:I118)*G118)),0)</f>
        <v>0</v>
      </c>
      <c r="K118" t="e">
        <f>_xlfn.IFNA(VLOOKUP(TRIM(#REF!),Data!$A:$D,4,0)*#REF!,0)</f>
        <v>#REF!</v>
      </c>
      <c r="L118">
        <f>IF(TRIM('DL 1'!G119)="EDCLNHT0IRNLI",20000,0)</f>
        <v>0</v>
      </c>
      <c r="M118">
        <f>IF(ISERROR(MATCH('DL 1'!A119,#REF!,0)),0,J118*2)</f>
        <v>0</v>
      </c>
      <c r="N118" t="e">
        <f>#REF!</f>
        <v>#REF!</v>
      </c>
      <c r="O118">
        <f>_xlfn.IFNA(VLOOKUP(RIGHT(VLOOKUP(TRIM('DL 1'!G119),Data!$A:$B,2,0),1),Data!$L$23:$M$30,2,0),0)</f>
        <v>0</v>
      </c>
      <c r="P118">
        <f t="shared" si="20"/>
        <v>0</v>
      </c>
      <c r="Q118" s="7" t="b">
        <f t="shared" si="11"/>
        <v>0</v>
      </c>
      <c r="R118" s="27">
        <f>INCENTIVE!$E$8</f>
        <v>130000000</v>
      </c>
      <c r="S118">
        <f>'DL 1'!D119</f>
        <v>0</v>
      </c>
      <c r="T118" t="str">
        <f t="shared" si="12"/>
        <v>1</v>
      </c>
      <c r="V118" t="str">
        <f t="shared" si="13"/>
        <v>1</v>
      </c>
      <c r="W118">
        <f t="shared" si="14"/>
        <v>0.25</v>
      </c>
      <c r="X118" s="7">
        <f>'DL 1'!E119</f>
        <v>0</v>
      </c>
      <c r="Y118" s="69">
        <f>'DL 1'!G119</f>
        <v>0</v>
      </c>
      <c r="AC118" t="str">
        <f>IFERROR(VLOOKUP(Y118,Data!$G$65:$K$79,2,0) *X118,"")</f>
        <v/>
      </c>
      <c r="AD118" s="7">
        <f t="shared" si="15"/>
        <v>0</v>
      </c>
      <c r="AE118">
        <f>'DL 1'!F119</f>
        <v>0</v>
      </c>
      <c r="AF118" t="str">
        <f>IFERROR(VLOOKUP(Y118,Data!$G$65:$K$79,4,0),"")</f>
        <v/>
      </c>
      <c r="AG118" s="51" t="e">
        <f>#REF!</f>
        <v>#REF!</v>
      </c>
      <c r="AK118">
        <f t="shared" si="16"/>
        <v>0</v>
      </c>
      <c r="AL118">
        <f t="shared" si="17"/>
        <v>0</v>
      </c>
      <c r="AM118" s="70">
        <f t="shared" si="18"/>
        <v>0</v>
      </c>
      <c r="AN118" s="7" t="b">
        <f t="shared" si="19"/>
        <v>0</v>
      </c>
    </row>
    <row r="119" spans="1:40" x14ac:dyDescent="0.3">
      <c r="A119" s="50">
        <f>IF(D119="A",_xlfn.IFNA(INDEX(Data!$H$24:$J$28,MATCH('DL 1'!E120,Data!$G$24:$G$28,1),MATCH('DL 1'!D120,Data!$H$23:$J$23,1)),0),0)</f>
        <v>0</v>
      </c>
      <c r="B119">
        <f>IF('DL 1'!F120="Y",Q119,0)</f>
        <v>0</v>
      </c>
      <c r="C119" t="e">
        <f>_xlfn.IFNA(INDEX(Data!$H$24:$J$28,MATCH(#REF!,Data!$G$24:$G$28,1),MATCH(#REF!,Data!$H$23:$J$23,1)),0)</f>
        <v>#REF!</v>
      </c>
      <c r="D119" t="str">
        <f>RIGHT(TRIM('DL 1'!G120),1)</f>
        <v/>
      </c>
      <c r="E119" s="8">
        <f>'DL 1'!E120*'DL 1'!D120</f>
        <v>0</v>
      </c>
      <c r="F119" t="str">
        <f>_xlfn.IFNA(VLOOKUP(TRIM('DL 1'!G120),Data!$A:$C,3,0),"")</f>
        <v/>
      </c>
      <c r="G119" s="7">
        <f>'DL 1'!E120</f>
        <v>0</v>
      </c>
      <c r="H119" s="21">
        <f>_xlfn.IFNA(VLOOKUP(TRIM('DL 1'!G120),Data!$A:$D,4,0),0)</f>
        <v>0</v>
      </c>
      <c r="I119">
        <f>_xlfn.IFNA(INDEX(Data!$G$5:$K$10,MATCH('DL 1'!D120,Data!$F$5:$F$10,1),MATCH(_xlfn.SINGLE(#REF!),Data!$G$4:$K$4,1)),0)</f>
        <v>0</v>
      </c>
      <c r="J119">
        <f>_xlfn.IFNA(IF(VLOOKUP(TRIM('DL 1'!G120),Data!$A:$C,3,0)="ST1",H119*I119*G119,IF(VLOOKUP(TRIM('DL 1'!G120),Data!$A:$C,3,0)="IR0",H119*G119,MIN(H119:I119)*G119)),0)</f>
        <v>0</v>
      </c>
      <c r="K119" t="e">
        <f>_xlfn.IFNA(VLOOKUP(TRIM(#REF!),Data!$A:$D,4,0)*#REF!,0)</f>
        <v>#REF!</v>
      </c>
      <c r="L119">
        <f>IF(TRIM('DL 1'!G120)="EDCLNHT0IRNLI",20000,0)</f>
        <v>0</v>
      </c>
      <c r="M119">
        <f>IF(ISERROR(MATCH('DL 1'!A120,#REF!,0)),0,J119*2)</f>
        <v>0</v>
      </c>
      <c r="N119" t="e">
        <f>#REF!</f>
        <v>#REF!</v>
      </c>
      <c r="O119">
        <f>_xlfn.IFNA(VLOOKUP(RIGHT(VLOOKUP(TRIM('DL 1'!G120),Data!$A:$B,2,0),1),Data!$L$23:$M$30,2,0),0)</f>
        <v>0</v>
      </c>
      <c r="P119">
        <f t="shared" si="20"/>
        <v>0</v>
      </c>
      <c r="Q119" s="7" t="b">
        <f t="shared" si="11"/>
        <v>0</v>
      </c>
      <c r="R119" s="27">
        <f>INCENTIVE!$E$8</f>
        <v>130000000</v>
      </c>
      <c r="S119">
        <f>'DL 1'!D120</f>
        <v>0</v>
      </c>
      <c r="T119" t="str">
        <f t="shared" si="12"/>
        <v>1</v>
      </c>
      <c r="V119" t="str">
        <f t="shared" si="13"/>
        <v>1</v>
      </c>
      <c r="W119">
        <f t="shared" si="14"/>
        <v>0.25</v>
      </c>
      <c r="X119" s="7">
        <f>'DL 1'!E120</f>
        <v>0</v>
      </c>
      <c r="Y119" s="69">
        <f>'DL 1'!G120</f>
        <v>0</v>
      </c>
      <c r="AC119" t="str">
        <f>IFERROR(VLOOKUP(Y119,Data!$G$65:$K$79,2,0) *X119,"")</f>
        <v/>
      </c>
      <c r="AD119" s="7">
        <f t="shared" si="15"/>
        <v>0</v>
      </c>
      <c r="AE119">
        <f>'DL 1'!F120</f>
        <v>0</v>
      </c>
      <c r="AF119" t="str">
        <f>IFERROR(VLOOKUP(Y119,Data!$G$65:$K$79,4,0),"")</f>
        <v/>
      </c>
      <c r="AG119" s="51" t="e">
        <f>#REF!</f>
        <v>#REF!</v>
      </c>
      <c r="AK119">
        <f t="shared" si="16"/>
        <v>0</v>
      </c>
      <c r="AL119">
        <f t="shared" si="17"/>
        <v>0</v>
      </c>
      <c r="AM119" s="70">
        <f t="shared" si="18"/>
        <v>0</v>
      </c>
      <c r="AN119" s="7" t="b">
        <f t="shared" si="19"/>
        <v>0</v>
      </c>
    </row>
    <row r="120" spans="1:40" x14ac:dyDescent="0.3">
      <c r="A120" s="50">
        <f>IF(D120="A",_xlfn.IFNA(INDEX(Data!$H$24:$J$28,MATCH('DL 1'!E121,Data!$G$24:$G$28,1),MATCH('DL 1'!D121,Data!$H$23:$J$23,1)),0),0)</f>
        <v>0</v>
      </c>
      <c r="B120">
        <f>IF('DL 1'!F121="Y",Q120,0)</f>
        <v>0</v>
      </c>
      <c r="C120" t="e">
        <f>_xlfn.IFNA(INDEX(Data!$H$24:$J$28,MATCH(#REF!,Data!$G$24:$G$28,1),MATCH(#REF!,Data!$H$23:$J$23,1)),0)</f>
        <v>#REF!</v>
      </c>
      <c r="D120" t="str">
        <f>RIGHT(TRIM('DL 1'!G121),1)</f>
        <v/>
      </c>
      <c r="E120" s="8">
        <f>'DL 1'!E121*'DL 1'!D121</f>
        <v>0</v>
      </c>
      <c r="F120" t="str">
        <f>_xlfn.IFNA(VLOOKUP(TRIM('DL 1'!G121),Data!$A:$C,3,0),"")</f>
        <v/>
      </c>
      <c r="G120" s="7">
        <f>'DL 1'!E121</f>
        <v>0</v>
      </c>
      <c r="H120" s="21">
        <f>_xlfn.IFNA(VLOOKUP(TRIM('DL 1'!G121),Data!$A:$D,4,0),0)</f>
        <v>0</v>
      </c>
      <c r="I120">
        <f>_xlfn.IFNA(INDEX(Data!$G$5:$K$10,MATCH('DL 1'!D121,Data!$F$5:$F$10,1),MATCH(_xlfn.SINGLE(#REF!),Data!$G$4:$K$4,1)),0)</f>
        <v>0</v>
      </c>
      <c r="J120">
        <f>_xlfn.IFNA(IF(VLOOKUP(TRIM('DL 1'!G121),Data!$A:$C,3,0)="ST1",H120*I120*G120,IF(VLOOKUP(TRIM('DL 1'!G121),Data!$A:$C,3,0)="IR0",H120*G120,MIN(H120:I120)*G120)),0)</f>
        <v>0</v>
      </c>
      <c r="K120" t="e">
        <f>_xlfn.IFNA(VLOOKUP(TRIM(#REF!),Data!$A:$D,4,0)*#REF!,0)</f>
        <v>#REF!</v>
      </c>
      <c r="L120">
        <f>IF(TRIM('DL 1'!G121)="EDCLNHT0IRNLI",20000,0)</f>
        <v>0</v>
      </c>
      <c r="M120">
        <f>IF(ISERROR(MATCH('DL 1'!A121,#REF!,0)),0,J120*2)</f>
        <v>0</v>
      </c>
      <c r="N120" t="e">
        <f>#REF!</f>
        <v>#REF!</v>
      </c>
      <c r="O120">
        <f>_xlfn.IFNA(VLOOKUP(RIGHT(VLOOKUP(TRIM('DL 1'!G121),Data!$A:$B,2,0),1),Data!$L$23:$M$30,2,0),0)</f>
        <v>0</v>
      </c>
      <c r="P120">
        <f t="shared" si="20"/>
        <v>0</v>
      </c>
      <c r="Q120" s="7" t="b">
        <f t="shared" si="11"/>
        <v>0</v>
      </c>
      <c r="R120" s="27">
        <f>INCENTIVE!$E$8</f>
        <v>130000000</v>
      </c>
      <c r="S120">
        <f>'DL 1'!D121</f>
        <v>0</v>
      </c>
      <c r="T120" t="str">
        <f t="shared" si="12"/>
        <v>1</v>
      </c>
      <c r="V120" t="str">
        <f t="shared" si="13"/>
        <v>1</v>
      </c>
      <c r="W120">
        <f t="shared" si="14"/>
        <v>0.25</v>
      </c>
      <c r="X120" s="7">
        <f>'DL 1'!E121</f>
        <v>0</v>
      </c>
      <c r="Y120" s="69">
        <f>'DL 1'!G121</f>
        <v>0</v>
      </c>
      <c r="AC120" t="str">
        <f>IFERROR(VLOOKUP(Y120,Data!$G$65:$K$79,2,0) *X120,"")</f>
        <v/>
      </c>
      <c r="AD120" s="7">
        <f t="shared" si="15"/>
        <v>0</v>
      </c>
      <c r="AE120">
        <f>'DL 1'!F121</f>
        <v>0</v>
      </c>
      <c r="AF120" t="str">
        <f>IFERROR(VLOOKUP(Y120,Data!$G$65:$K$79,4,0),"")</f>
        <v/>
      </c>
      <c r="AG120" s="51" t="e">
        <f>#REF!</f>
        <v>#REF!</v>
      </c>
      <c r="AK120">
        <f t="shared" si="16"/>
        <v>0</v>
      </c>
      <c r="AL120">
        <f t="shared" si="17"/>
        <v>0</v>
      </c>
      <c r="AM120" s="70">
        <f t="shared" si="18"/>
        <v>0</v>
      </c>
      <c r="AN120" s="7" t="b">
        <f t="shared" si="19"/>
        <v>0</v>
      </c>
    </row>
    <row r="121" spans="1:40" x14ac:dyDescent="0.3">
      <c r="A121" s="50">
        <f>IF(D121="A",_xlfn.IFNA(INDEX(Data!$H$24:$J$28,MATCH('DL 1'!E122,Data!$G$24:$G$28,1),MATCH('DL 1'!D122,Data!$H$23:$J$23,1)),0),0)</f>
        <v>0</v>
      </c>
      <c r="B121">
        <f>IF('DL 1'!F122="Y",Q121,0)</f>
        <v>0</v>
      </c>
      <c r="C121" t="e">
        <f>_xlfn.IFNA(INDEX(Data!$H$24:$J$28,MATCH(#REF!,Data!$G$24:$G$28,1),MATCH(#REF!,Data!$H$23:$J$23,1)),0)</f>
        <v>#REF!</v>
      </c>
      <c r="D121" t="str">
        <f>RIGHT(TRIM('DL 1'!G122),1)</f>
        <v/>
      </c>
      <c r="E121" s="8">
        <f>'DL 1'!E122*'DL 1'!D122</f>
        <v>0</v>
      </c>
      <c r="F121" t="str">
        <f>_xlfn.IFNA(VLOOKUP(TRIM('DL 1'!G122),Data!$A:$C,3,0),"")</f>
        <v/>
      </c>
      <c r="G121" s="7">
        <f>'DL 1'!E122</f>
        <v>0</v>
      </c>
      <c r="H121" s="21">
        <f>_xlfn.IFNA(VLOOKUP(TRIM('DL 1'!G122),Data!$A:$D,4,0),0)</f>
        <v>0</v>
      </c>
      <c r="I121">
        <f>_xlfn.IFNA(INDEX(Data!$G$5:$K$10,MATCH('DL 1'!D122,Data!$F$5:$F$10,1),MATCH(_xlfn.SINGLE(#REF!),Data!$G$4:$K$4,1)),0)</f>
        <v>0</v>
      </c>
      <c r="J121">
        <f>_xlfn.IFNA(IF(VLOOKUP(TRIM('DL 1'!G122),Data!$A:$C,3,0)="ST1",H121*I121*G121,IF(VLOOKUP(TRIM('DL 1'!G122),Data!$A:$C,3,0)="IR0",H121*G121,MIN(H121:I121)*G121)),0)</f>
        <v>0</v>
      </c>
      <c r="K121" t="e">
        <f>_xlfn.IFNA(VLOOKUP(TRIM(#REF!),Data!$A:$D,4,0)*#REF!,0)</f>
        <v>#REF!</v>
      </c>
      <c r="L121">
        <f>IF(TRIM('DL 1'!G122)="EDCLNHT0IRNLI",20000,0)</f>
        <v>0</v>
      </c>
      <c r="M121">
        <f>IF(ISERROR(MATCH('DL 1'!A122,#REF!,0)),0,J121*2)</f>
        <v>0</v>
      </c>
      <c r="N121" t="e">
        <f>#REF!</f>
        <v>#REF!</v>
      </c>
      <c r="O121">
        <f>_xlfn.IFNA(VLOOKUP(RIGHT(VLOOKUP(TRIM('DL 1'!G122),Data!$A:$B,2,0),1),Data!$L$23:$M$30,2,0),0)</f>
        <v>0</v>
      </c>
      <c r="P121">
        <f t="shared" si="20"/>
        <v>0</v>
      </c>
      <c r="Q121" s="7" t="b">
        <f t="shared" si="11"/>
        <v>0</v>
      </c>
      <c r="R121" s="27">
        <f>INCENTIVE!$E$8</f>
        <v>130000000</v>
      </c>
      <c r="S121">
        <f>'DL 1'!D122</f>
        <v>0</v>
      </c>
      <c r="T121" t="str">
        <f t="shared" si="12"/>
        <v>1</v>
      </c>
      <c r="V121" t="str">
        <f t="shared" si="13"/>
        <v>1</v>
      </c>
      <c r="W121">
        <f t="shared" si="14"/>
        <v>0.25</v>
      </c>
      <c r="X121" s="7">
        <f>'DL 1'!E122</f>
        <v>0</v>
      </c>
      <c r="Y121" s="69">
        <f>'DL 1'!G122</f>
        <v>0</v>
      </c>
      <c r="AC121" t="str">
        <f>IFERROR(VLOOKUP(Y121,Data!$G$65:$K$79,2,0) *X121,"")</f>
        <v/>
      </c>
      <c r="AD121" s="7">
        <f t="shared" si="15"/>
        <v>0</v>
      </c>
      <c r="AE121">
        <f>'DL 1'!F122</f>
        <v>0</v>
      </c>
      <c r="AF121" t="str">
        <f>IFERROR(VLOOKUP(Y121,Data!$G$65:$K$79,4,0),"")</f>
        <v/>
      </c>
      <c r="AG121" s="51" t="e">
        <f>#REF!</f>
        <v>#REF!</v>
      </c>
      <c r="AK121">
        <f t="shared" si="16"/>
        <v>0</v>
      </c>
      <c r="AL121">
        <f t="shared" si="17"/>
        <v>0</v>
      </c>
      <c r="AM121" s="70">
        <f t="shared" si="18"/>
        <v>0</v>
      </c>
      <c r="AN121" s="7" t="b">
        <f t="shared" si="19"/>
        <v>0</v>
      </c>
    </row>
    <row r="122" spans="1:40" x14ac:dyDescent="0.3">
      <c r="A122" s="50">
        <f>IF(D122="A",_xlfn.IFNA(INDEX(Data!$H$24:$J$28,MATCH('DL 1'!E123,Data!$G$24:$G$28,1),MATCH('DL 1'!D123,Data!$H$23:$J$23,1)),0),0)</f>
        <v>0</v>
      </c>
      <c r="B122">
        <f>IF('DL 1'!F123="Y",Q122,0)</f>
        <v>0</v>
      </c>
      <c r="C122" t="e">
        <f>_xlfn.IFNA(INDEX(Data!$H$24:$J$28,MATCH(#REF!,Data!$G$24:$G$28,1),MATCH(#REF!,Data!$H$23:$J$23,1)),0)</f>
        <v>#REF!</v>
      </c>
      <c r="D122" t="str">
        <f>RIGHT(TRIM('DL 1'!G123),1)</f>
        <v/>
      </c>
      <c r="E122" s="8">
        <f>'DL 1'!E123*'DL 1'!D123</f>
        <v>0</v>
      </c>
      <c r="F122" t="str">
        <f>_xlfn.IFNA(VLOOKUP(TRIM('DL 1'!G123),Data!$A:$C,3,0),"")</f>
        <v/>
      </c>
      <c r="G122" s="7">
        <f>'DL 1'!E123</f>
        <v>0</v>
      </c>
      <c r="H122" s="21">
        <f>_xlfn.IFNA(VLOOKUP(TRIM('DL 1'!G123),Data!$A:$D,4,0),0)</f>
        <v>0</v>
      </c>
      <c r="I122">
        <f>_xlfn.IFNA(INDEX(Data!$G$5:$K$10,MATCH('DL 1'!D123,Data!$F$5:$F$10,1),MATCH(_xlfn.SINGLE(#REF!),Data!$G$4:$K$4,1)),0)</f>
        <v>0</v>
      </c>
      <c r="J122">
        <f>_xlfn.IFNA(IF(VLOOKUP(TRIM('DL 1'!G123),Data!$A:$C,3,0)="ST1",H122*I122*G122,IF(VLOOKUP(TRIM('DL 1'!G123),Data!$A:$C,3,0)="IR0",H122*G122,MIN(H122:I122)*G122)),0)</f>
        <v>0</v>
      </c>
      <c r="K122" t="e">
        <f>_xlfn.IFNA(VLOOKUP(TRIM(#REF!),Data!$A:$D,4,0)*#REF!,0)</f>
        <v>#REF!</v>
      </c>
      <c r="L122">
        <f>IF(TRIM('DL 1'!G123)="EDCLNHT0IRNLI",20000,0)</f>
        <v>0</v>
      </c>
      <c r="M122">
        <f>IF(ISERROR(MATCH('DL 1'!A123,#REF!,0)),0,J122*2)</f>
        <v>0</v>
      </c>
      <c r="N122" t="e">
        <f>#REF!</f>
        <v>#REF!</v>
      </c>
      <c r="O122">
        <f>_xlfn.IFNA(VLOOKUP(RIGHT(VLOOKUP(TRIM('DL 1'!G123),Data!$A:$B,2,0),1),Data!$L$23:$M$30,2,0),0)</f>
        <v>0</v>
      </c>
      <c r="P122">
        <f t="shared" si="20"/>
        <v>0</v>
      </c>
      <c r="Q122" s="7" t="b">
        <f t="shared" si="11"/>
        <v>0</v>
      </c>
      <c r="R122" s="27">
        <f>INCENTIVE!$E$8</f>
        <v>130000000</v>
      </c>
      <c r="S122">
        <f>'DL 1'!D123</f>
        <v>0</v>
      </c>
      <c r="T122" t="str">
        <f t="shared" si="12"/>
        <v>1</v>
      </c>
      <c r="V122" t="str">
        <f t="shared" si="13"/>
        <v>1</v>
      </c>
      <c r="W122">
        <f t="shared" si="14"/>
        <v>0.25</v>
      </c>
      <c r="X122" s="7">
        <f>'DL 1'!E123</f>
        <v>0</v>
      </c>
      <c r="Y122" s="69">
        <f>'DL 1'!G123</f>
        <v>0</v>
      </c>
      <c r="AC122" t="str">
        <f>IFERROR(VLOOKUP(Y122,Data!$G$65:$K$79,2,0) *X122,"")</f>
        <v/>
      </c>
      <c r="AD122" s="7">
        <f t="shared" si="15"/>
        <v>0</v>
      </c>
      <c r="AE122">
        <f>'DL 1'!F123</f>
        <v>0</v>
      </c>
      <c r="AF122" t="str">
        <f>IFERROR(VLOOKUP(Y122,Data!$G$65:$K$79,4,0),"")</f>
        <v/>
      </c>
      <c r="AG122" s="51" t="e">
        <f>#REF!</f>
        <v>#REF!</v>
      </c>
      <c r="AK122">
        <f t="shared" si="16"/>
        <v>0</v>
      </c>
      <c r="AL122">
        <f t="shared" si="17"/>
        <v>0</v>
      </c>
      <c r="AM122" s="70">
        <f t="shared" si="18"/>
        <v>0</v>
      </c>
      <c r="AN122" s="7" t="b">
        <f t="shared" si="19"/>
        <v>0</v>
      </c>
    </row>
    <row r="123" spans="1:40" x14ac:dyDescent="0.3">
      <c r="A123" s="50">
        <f>IF(D123="A",_xlfn.IFNA(INDEX(Data!$H$24:$J$28,MATCH('DL 1'!E124,Data!$G$24:$G$28,1),MATCH('DL 1'!D124,Data!$H$23:$J$23,1)),0),0)</f>
        <v>0</v>
      </c>
      <c r="B123">
        <f>IF('DL 1'!F124="Y",Q123,0)</f>
        <v>0</v>
      </c>
      <c r="C123" t="e">
        <f>_xlfn.IFNA(INDEX(Data!$H$24:$J$28,MATCH(#REF!,Data!$G$24:$G$28,1),MATCH(#REF!,Data!$H$23:$J$23,1)),0)</f>
        <v>#REF!</v>
      </c>
      <c r="D123" t="str">
        <f>RIGHT(TRIM('DL 1'!G124),1)</f>
        <v/>
      </c>
      <c r="E123" s="8">
        <f>'DL 1'!E124*'DL 1'!D124</f>
        <v>0</v>
      </c>
      <c r="F123" t="str">
        <f>_xlfn.IFNA(VLOOKUP(TRIM('DL 1'!G124),Data!$A:$C,3,0),"")</f>
        <v/>
      </c>
      <c r="G123" s="7">
        <f>'DL 1'!E124</f>
        <v>0</v>
      </c>
      <c r="H123" s="21">
        <f>_xlfn.IFNA(VLOOKUP(TRIM('DL 1'!G124),Data!$A:$D,4,0),0)</f>
        <v>0</v>
      </c>
      <c r="I123">
        <f>_xlfn.IFNA(INDEX(Data!$G$5:$K$10,MATCH('DL 1'!D124,Data!$F$5:$F$10,1),MATCH(_xlfn.SINGLE(#REF!),Data!$G$4:$K$4,1)),0)</f>
        <v>0</v>
      </c>
      <c r="J123">
        <f>_xlfn.IFNA(IF(VLOOKUP(TRIM('DL 1'!G124),Data!$A:$C,3,0)="ST1",H123*I123*G123,IF(VLOOKUP(TRIM('DL 1'!G124),Data!$A:$C,3,0)="IR0",H123*G123,MIN(H123:I123)*G123)),0)</f>
        <v>0</v>
      </c>
      <c r="K123" t="e">
        <f>_xlfn.IFNA(VLOOKUP(TRIM(#REF!),Data!$A:$D,4,0)*#REF!,0)</f>
        <v>#REF!</v>
      </c>
      <c r="L123">
        <f>IF(TRIM('DL 1'!G124)="EDCLNHT0IRNLI",20000,0)</f>
        <v>0</v>
      </c>
      <c r="M123">
        <f>IF(ISERROR(MATCH('DL 1'!A124,#REF!,0)),0,J123*2)</f>
        <v>0</v>
      </c>
      <c r="N123" t="e">
        <f>#REF!</f>
        <v>#REF!</v>
      </c>
      <c r="O123">
        <f>_xlfn.IFNA(VLOOKUP(RIGHT(VLOOKUP(TRIM('DL 1'!G124),Data!$A:$B,2,0),1),Data!$L$23:$M$30,2,0),0)</f>
        <v>0</v>
      </c>
      <c r="P123">
        <f t="shared" si="20"/>
        <v>0</v>
      </c>
      <c r="Q123" s="7" t="b">
        <f t="shared" si="11"/>
        <v>0</v>
      </c>
      <c r="R123" s="27">
        <f>INCENTIVE!$E$8</f>
        <v>130000000</v>
      </c>
      <c r="S123">
        <f>'DL 1'!D124</f>
        <v>0</v>
      </c>
      <c r="T123" t="str">
        <f t="shared" si="12"/>
        <v>1</v>
      </c>
      <c r="V123" t="str">
        <f t="shared" si="13"/>
        <v>1</v>
      </c>
      <c r="W123">
        <f t="shared" si="14"/>
        <v>0.25</v>
      </c>
      <c r="X123" s="7">
        <f>'DL 1'!E124</f>
        <v>0</v>
      </c>
      <c r="Y123" s="69">
        <f>'DL 1'!G124</f>
        <v>0</v>
      </c>
      <c r="AC123" t="str">
        <f>IFERROR(VLOOKUP(Y123,Data!$G$65:$K$79,2,0) *X123,"")</f>
        <v/>
      </c>
      <c r="AD123" s="7">
        <f t="shared" si="15"/>
        <v>0</v>
      </c>
      <c r="AE123">
        <f>'DL 1'!F124</f>
        <v>0</v>
      </c>
      <c r="AF123" t="str">
        <f>IFERROR(VLOOKUP(Y123,Data!$G$65:$K$79,4,0),"")</f>
        <v/>
      </c>
      <c r="AG123" s="51" t="e">
        <f>#REF!</f>
        <v>#REF!</v>
      </c>
      <c r="AK123">
        <f t="shared" si="16"/>
        <v>0</v>
      </c>
      <c r="AL123">
        <f t="shared" si="17"/>
        <v>0</v>
      </c>
      <c r="AM123" s="70">
        <f t="shared" si="18"/>
        <v>0</v>
      </c>
      <c r="AN123" s="7" t="b">
        <f t="shared" si="19"/>
        <v>0</v>
      </c>
    </row>
    <row r="124" spans="1:40" x14ac:dyDescent="0.3">
      <c r="A124" s="50">
        <f>IF(D124="A",_xlfn.IFNA(INDEX(Data!$H$24:$J$28,MATCH('DL 1'!E125,Data!$G$24:$G$28,1),MATCH('DL 1'!D125,Data!$H$23:$J$23,1)),0),0)</f>
        <v>0</v>
      </c>
      <c r="B124">
        <f>IF('DL 1'!F125="Y",Q124,0)</f>
        <v>0</v>
      </c>
      <c r="C124" t="e">
        <f>_xlfn.IFNA(INDEX(Data!$H$24:$J$28,MATCH(#REF!,Data!$G$24:$G$28,1),MATCH(#REF!,Data!$H$23:$J$23,1)),0)</f>
        <v>#REF!</v>
      </c>
      <c r="D124" t="str">
        <f>RIGHT(TRIM('DL 1'!G125),1)</f>
        <v/>
      </c>
      <c r="E124" s="8">
        <f>'DL 1'!E125*'DL 1'!D125</f>
        <v>0</v>
      </c>
      <c r="F124" t="str">
        <f>_xlfn.IFNA(VLOOKUP(TRIM('DL 1'!G125),Data!$A:$C,3,0),"")</f>
        <v/>
      </c>
      <c r="G124" s="7">
        <f>'DL 1'!E125</f>
        <v>0</v>
      </c>
      <c r="H124" s="21">
        <f>_xlfn.IFNA(VLOOKUP(TRIM('DL 1'!G125),Data!$A:$D,4,0),0)</f>
        <v>0</v>
      </c>
      <c r="I124">
        <f>_xlfn.IFNA(INDEX(Data!$G$5:$K$10,MATCH('DL 1'!D125,Data!$F$5:$F$10,1),MATCH(_xlfn.SINGLE(#REF!),Data!$G$4:$K$4,1)),0)</f>
        <v>0</v>
      </c>
      <c r="J124">
        <f>_xlfn.IFNA(IF(VLOOKUP(TRIM('DL 1'!G125),Data!$A:$C,3,0)="ST1",H124*I124*G124,IF(VLOOKUP(TRIM('DL 1'!G125),Data!$A:$C,3,0)="IR0",H124*G124,MIN(H124:I124)*G124)),0)</f>
        <v>0</v>
      </c>
      <c r="K124" t="e">
        <f>_xlfn.IFNA(VLOOKUP(TRIM(#REF!),Data!$A:$D,4,0)*#REF!,0)</f>
        <v>#REF!</v>
      </c>
      <c r="L124">
        <f>IF(TRIM('DL 1'!G125)="EDCLNHT0IRNLI",20000,0)</f>
        <v>0</v>
      </c>
      <c r="M124">
        <f>IF(ISERROR(MATCH('DL 1'!A125,#REF!,0)),0,J124*2)</f>
        <v>0</v>
      </c>
      <c r="N124" t="e">
        <f>#REF!</f>
        <v>#REF!</v>
      </c>
      <c r="O124">
        <f>_xlfn.IFNA(VLOOKUP(RIGHT(VLOOKUP(TRIM('DL 1'!G125),Data!$A:$B,2,0),1),Data!$L$23:$M$30,2,0),0)</f>
        <v>0</v>
      </c>
      <c r="P124">
        <f t="shared" si="20"/>
        <v>0</v>
      </c>
      <c r="Q124" s="7" t="b">
        <f t="shared" si="11"/>
        <v>0</v>
      </c>
      <c r="R124" s="27">
        <f>INCENTIVE!$E$8</f>
        <v>130000000</v>
      </c>
      <c r="S124">
        <f>'DL 1'!D125</f>
        <v>0</v>
      </c>
      <c r="T124" t="str">
        <f t="shared" si="12"/>
        <v>1</v>
      </c>
      <c r="V124" t="str">
        <f t="shared" si="13"/>
        <v>1</v>
      </c>
      <c r="W124">
        <f t="shared" si="14"/>
        <v>0.25</v>
      </c>
      <c r="X124" s="7">
        <f>'DL 1'!E125</f>
        <v>0</v>
      </c>
      <c r="Y124" s="69">
        <f>'DL 1'!G125</f>
        <v>0</v>
      </c>
      <c r="AC124" t="str">
        <f>IFERROR(VLOOKUP(Y124,Data!$G$65:$K$79,2,0) *X124,"")</f>
        <v/>
      </c>
      <c r="AD124" s="7">
        <f t="shared" si="15"/>
        <v>0</v>
      </c>
      <c r="AE124">
        <f>'DL 1'!F125</f>
        <v>0</v>
      </c>
      <c r="AF124" t="str">
        <f>IFERROR(VLOOKUP(Y124,Data!$G$65:$K$79,4,0),"")</f>
        <v/>
      </c>
      <c r="AG124" s="51" t="e">
        <f>#REF!</f>
        <v>#REF!</v>
      </c>
      <c r="AK124">
        <f t="shared" si="16"/>
        <v>0</v>
      </c>
      <c r="AL124">
        <f t="shared" si="17"/>
        <v>0</v>
      </c>
      <c r="AM124" s="70">
        <f t="shared" si="18"/>
        <v>0</v>
      </c>
      <c r="AN124" s="7" t="b">
        <f t="shared" si="19"/>
        <v>0</v>
      </c>
    </row>
    <row r="125" spans="1:40" x14ac:dyDescent="0.3">
      <c r="A125" s="50">
        <f>IF(D125="A",_xlfn.IFNA(INDEX(Data!$H$24:$J$28,MATCH('DL 1'!E126,Data!$G$24:$G$28,1),MATCH('DL 1'!D126,Data!$H$23:$J$23,1)),0),0)</f>
        <v>0</v>
      </c>
      <c r="B125">
        <f>IF('DL 1'!F126="Y",Q125,0)</f>
        <v>0</v>
      </c>
      <c r="C125" t="e">
        <f>_xlfn.IFNA(INDEX(Data!$H$24:$J$28,MATCH(#REF!,Data!$G$24:$G$28,1),MATCH(#REF!,Data!$H$23:$J$23,1)),0)</f>
        <v>#REF!</v>
      </c>
      <c r="D125" t="str">
        <f>RIGHT(TRIM('DL 1'!G126),1)</f>
        <v/>
      </c>
      <c r="E125" s="8">
        <f>'DL 1'!E126*'DL 1'!D126</f>
        <v>0</v>
      </c>
      <c r="F125" t="str">
        <f>_xlfn.IFNA(VLOOKUP(TRIM('DL 1'!G126),Data!$A:$C,3,0),"")</f>
        <v/>
      </c>
      <c r="G125" s="7">
        <f>'DL 1'!E126</f>
        <v>0</v>
      </c>
      <c r="H125" s="21">
        <f>_xlfn.IFNA(VLOOKUP(TRIM('DL 1'!G126),Data!$A:$D,4,0),0)</f>
        <v>0</v>
      </c>
      <c r="I125">
        <f>_xlfn.IFNA(INDEX(Data!$G$5:$K$10,MATCH('DL 1'!D126,Data!$F$5:$F$10,1),MATCH(_xlfn.SINGLE(#REF!),Data!$G$4:$K$4,1)),0)</f>
        <v>0</v>
      </c>
      <c r="J125">
        <f>_xlfn.IFNA(IF(VLOOKUP(TRIM('DL 1'!G126),Data!$A:$C,3,0)="ST1",H125*I125*G125,IF(VLOOKUP(TRIM('DL 1'!G126),Data!$A:$C,3,0)="IR0",H125*G125,MIN(H125:I125)*G125)),0)</f>
        <v>0</v>
      </c>
      <c r="K125" t="e">
        <f>_xlfn.IFNA(VLOOKUP(TRIM(#REF!),Data!$A:$D,4,0)*#REF!,0)</f>
        <v>#REF!</v>
      </c>
      <c r="L125">
        <f>IF(TRIM('DL 1'!G126)="EDCLNHT0IRNLI",20000,0)</f>
        <v>0</v>
      </c>
      <c r="M125">
        <f>IF(ISERROR(MATCH('DL 1'!A126,#REF!,0)),0,J125*2)</f>
        <v>0</v>
      </c>
      <c r="N125" t="e">
        <f>#REF!</f>
        <v>#REF!</v>
      </c>
      <c r="O125">
        <f>_xlfn.IFNA(VLOOKUP(RIGHT(VLOOKUP(TRIM('DL 1'!G126),Data!$A:$B,2,0),1),Data!$L$23:$M$30,2,0),0)</f>
        <v>0</v>
      </c>
      <c r="P125">
        <f t="shared" si="20"/>
        <v>0</v>
      </c>
      <c r="Q125" s="7" t="b">
        <f t="shared" si="11"/>
        <v>0</v>
      </c>
      <c r="R125" s="27">
        <f>INCENTIVE!$E$8</f>
        <v>130000000</v>
      </c>
      <c r="S125">
        <f>'DL 1'!D126</f>
        <v>0</v>
      </c>
      <c r="T125" t="str">
        <f t="shared" si="12"/>
        <v>1</v>
      </c>
      <c r="V125" t="str">
        <f t="shared" si="13"/>
        <v>1</v>
      </c>
      <c r="W125">
        <f t="shared" si="14"/>
        <v>0.25</v>
      </c>
      <c r="X125" s="7">
        <f>'DL 1'!E126</f>
        <v>0</v>
      </c>
      <c r="Y125" s="69">
        <f>'DL 1'!G126</f>
        <v>0</v>
      </c>
      <c r="AC125" t="str">
        <f>IFERROR(VLOOKUP(Y125,Data!$G$65:$K$79,2,0) *X125,"")</f>
        <v/>
      </c>
      <c r="AD125" s="7">
        <f t="shared" si="15"/>
        <v>0</v>
      </c>
      <c r="AE125">
        <f>'DL 1'!F126</f>
        <v>0</v>
      </c>
      <c r="AF125" t="str">
        <f>IFERROR(VLOOKUP(Y125,Data!$G$65:$K$79,4,0),"")</f>
        <v/>
      </c>
      <c r="AG125" s="51" t="e">
        <f>#REF!</f>
        <v>#REF!</v>
      </c>
      <c r="AK125">
        <f t="shared" si="16"/>
        <v>0</v>
      </c>
      <c r="AL125">
        <f t="shared" si="17"/>
        <v>0</v>
      </c>
      <c r="AM125" s="70">
        <f t="shared" si="18"/>
        <v>0</v>
      </c>
      <c r="AN125" s="7" t="b">
        <f t="shared" si="19"/>
        <v>0</v>
      </c>
    </row>
    <row r="126" spans="1:40" x14ac:dyDescent="0.3">
      <c r="A126" s="50">
        <f>IF(D126="A",_xlfn.IFNA(INDEX(Data!$H$24:$J$28,MATCH('DL 1'!E127,Data!$G$24:$G$28,1),MATCH('DL 1'!D127,Data!$H$23:$J$23,1)),0),0)</f>
        <v>0</v>
      </c>
      <c r="B126">
        <f>IF('DL 1'!F127="Y",Q126,0)</f>
        <v>0</v>
      </c>
      <c r="C126" t="e">
        <f>_xlfn.IFNA(INDEX(Data!$H$24:$J$28,MATCH(#REF!,Data!$G$24:$G$28,1),MATCH(#REF!,Data!$H$23:$J$23,1)),0)</f>
        <v>#REF!</v>
      </c>
      <c r="D126" t="str">
        <f>RIGHT(TRIM('DL 1'!G127),1)</f>
        <v/>
      </c>
      <c r="E126" s="8">
        <f>'DL 1'!E127*'DL 1'!D127</f>
        <v>0</v>
      </c>
      <c r="F126" t="str">
        <f>_xlfn.IFNA(VLOOKUP(TRIM('DL 1'!G127),Data!$A:$C,3,0),"")</f>
        <v/>
      </c>
      <c r="G126" s="7">
        <f>'DL 1'!E127</f>
        <v>0</v>
      </c>
      <c r="H126" s="21">
        <f>_xlfn.IFNA(VLOOKUP(TRIM('DL 1'!G127),Data!$A:$D,4,0),0)</f>
        <v>0</v>
      </c>
      <c r="I126">
        <f>_xlfn.IFNA(INDEX(Data!$G$5:$K$10,MATCH('DL 1'!D127,Data!$F$5:$F$10,1),MATCH(_xlfn.SINGLE(#REF!),Data!$G$4:$K$4,1)),0)</f>
        <v>0</v>
      </c>
      <c r="J126">
        <f>_xlfn.IFNA(IF(VLOOKUP(TRIM('DL 1'!G127),Data!$A:$C,3,0)="ST1",H126*I126*G126,IF(VLOOKUP(TRIM('DL 1'!G127),Data!$A:$C,3,0)="IR0",H126*G126,MIN(H126:I126)*G126)),0)</f>
        <v>0</v>
      </c>
      <c r="K126" t="e">
        <f>_xlfn.IFNA(VLOOKUP(TRIM(#REF!),Data!$A:$D,4,0)*#REF!,0)</f>
        <v>#REF!</v>
      </c>
      <c r="L126">
        <f>IF(TRIM('DL 1'!G127)="EDCLNHT0IRNLI",20000,0)</f>
        <v>0</v>
      </c>
      <c r="M126">
        <f>IF(ISERROR(MATCH('DL 1'!A127,#REF!,0)),0,J126*2)</f>
        <v>0</v>
      </c>
      <c r="N126" t="e">
        <f>#REF!</f>
        <v>#REF!</v>
      </c>
      <c r="O126">
        <f>_xlfn.IFNA(VLOOKUP(RIGHT(VLOOKUP(TRIM('DL 1'!G127),Data!$A:$B,2,0),1),Data!$L$23:$M$30,2,0),0)</f>
        <v>0</v>
      </c>
      <c r="P126">
        <f t="shared" si="20"/>
        <v>0</v>
      </c>
      <c r="Q126" s="7" t="b">
        <f t="shared" si="11"/>
        <v>0</v>
      </c>
      <c r="R126" s="27">
        <f>INCENTIVE!$E$8</f>
        <v>130000000</v>
      </c>
      <c r="S126">
        <f>'DL 1'!D127</f>
        <v>0</v>
      </c>
      <c r="T126" t="str">
        <f t="shared" si="12"/>
        <v>1</v>
      </c>
      <c r="V126" t="str">
        <f t="shared" si="13"/>
        <v>1</v>
      </c>
      <c r="W126">
        <f t="shared" si="14"/>
        <v>0.25</v>
      </c>
      <c r="X126" s="7">
        <f>'DL 1'!E127</f>
        <v>0</v>
      </c>
      <c r="Y126" s="69">
        <f>'DL 1'!G127</f>
        <v>0</v>
      </c>
      <c r="AC126" t="str">
        <f>IFERROR(VLOOKUP(Y126,Data!$G$65:$K$79,2,0) *X126,"")</f>
        <v/>
      </c>
      <c r="AD126" s="7">
        <f t="shared" si="15"/>
        <v>0</v>
      </c>
      <c r="AE126">
        <f>'DL 1'!F127</f>
        <v>0</v>
      </c>
      <c r="AF126" t="str">
        <f>IFERROR(VLOOKUP(Y126,Data!$G$65:$K$79,4,0),"")</f>
        <v/>
      </c>
      <c r="AG126" s="51" t="e">
        <f>#REF!</f>
        <v>#REF!</v>
      </c>
      <c r="AK126">
        <f t="shared" si="16"/>
        <v>0</v>
      </c>
      <c r="AL126">
        <f t="shared" si="17"/>
        <v>0</v>
      </c>
      <c r="AM126" s="70">
        <f t="shared" si="18"/>
        <v>0</v>
      </c>
      <c r="AN126" s="7" t="b">
        <f t="shared" si="19"/>
        <v>0</v>
      </c>
    </row>
    <row r="127" spans="1:40" x14ac:dyDescent="0.3">
      <c r="A127" s="50">
        <f>IF(D127="A",_xlfn.IFNA(INDEX(Data!$H$24:$J$28,MATCH('DL 1'!E128,Data!$G$24:$G$28,1),MATCH('DL 1'!D128,Data!$H$23:$J$23,1)),0),0)</f>
        <v>0</v>
      </c>
      <c r="B127">
        <f>IF('DL 1'!F128="Y",Q127,0)</f>
        <v>0</v>
      </c>
      <c r="C127" t="e">
        <f>_xlfn.IFNA(INDEX(Data!$H$24:$J$28,MATCH(#REF!,Data!$G$24:$G$28,1),MATCH(#REF!,Data!$H$23:$J$23,1)),0)</f>
        <v>#REF!</v>
      </c>
      <c r="D127" t="str">
        <f>RIGHT(TRIM('DL 1'!G128),1)</f>
        <v/>
      </c>
      <c r="E127" s="8">
        <f>'DL 1'!E128*'DL 1'!D128</f>
        <v>0</v>
      </c>
      <c r="F127" t="str">
        <f>_xlfn.IFNA(VLOOKUP(TRIM('DL 1'!G128),Data!$A:$C,3,0),"")</f>
        <v/>
      </c>
      <c r="G127" s="7">
        <f>'DL 1'!E128</f>
        <v>0</v>
      </c>
      <c r="H127" s="21">
        <f>_xlfn.IFNA(VLOOKUP(TRIM('DL 1'!G128),Data!$A:$D,4,0),0)</f>
        <v>0</v>
      </c>
      <c r="I127">
        <f>_xlfn.IFNA(INDEX(Data!$G$5:$K$10,MATCH('DL 1'!D128,Data!$F$5:$F$10,1),MATCH(_xlfn.SINGLE(#REF!),Data!$G$4:$K$4,1)),0)</f>
        <v>0</v>
      </c>
      <c r="J127">
        <f>_xlfn.IFNA(IF(VLOOKUP(TRIM('DL 1'!G128),Data!$A:$C,3,0)="ST1",H127*I127*G127,IF(VLOOKUP(TRIM('DL 1'!G128),Data!$A:$C,3,0)="IR0",H127*G127,MIN(H127:I127)*G127)),0)</f>
        <v>0</v>
      </c>
      <c r="K127" t="e">
        <f>_xlfn.IFNA(VLOOKUP(TRIM(#REF!),Data!$A:$D,4,0)*#REF!,0)</f>
        <v>#REF!</v>
      </c>
      <c r="L127">
        <f>IF(TRIM('DL 1'!G128)="EDCLNHT0IRNLI",20000,0)</f>
        <v>0</v>
      </c>
      <c r="M127">
        <f>IF(ISERROR(MATCH('DL 1'!A128,#REF!,0)),0,J127*2)</f>
        <v>0</v>
      </c>
      <c r="N127" t="e">
        <f>#REF!</f>
        <v>#REF!</v>
      </c>
      <c r="O127">
        <f>_xlfn.IFNA(VLOOKUP(RIGHT(VLOOKUP(TRIM('DL 1'!G128),Data!$A:$B,2,0),1),Data!$L$23:$M$30,2,0),0)</f>
        <v>0</v>
      </c>
      <c r="P127">
        <f t="shared" si="20"/>
        <v>0</v>
      </c>
      <c r="Q127" s="7" t="b">
        <f t="shared" si="11"/>
        <v>0</v>
      </c>
      <c r="R127" s="27">
        <f>INCENTIVE!$E$8</f>
        <v>130000000</v>
      </c>
      <c r="S127">
        <f>'DL 1'!D128</f>
        <v>0</v>
      </c>
      <c r="T127" t="str">
        <f t="shared" si="12"/>
        <v>1</v>
      </c>
      <c r="V127" t="str">
        <f t="shared" si="13"/>
        <v>1</v>
      </c>
      <c r="W127">
        <f t="shared" si="14"/>
        <v>0.25</v>
      </c>
      <c r="X127" s="7">
        <f>'DL 1'!E128</f>
        <v>0</v>
      </c>
      <c r="Y127" s="69">
        <f>'DL 1'!G128</f>
        <v>0</v>
      </c>
      <c r="AC127" t="str">
        <f>IFERROR(VLOOKUP(Y127,Data!$G$65:$K$79,2,0) *X127,"")</f>
        <v/>
      </c>
      <c r="AD127" s="7">
        <f t="shared" si="15"/>
        <v>0</v>
      </c>
      <c r="AE127">
        <f>'DL 1'!F128</f>
        <v>0</v>
      </c>
      <c r="AF127" t="str">
        <f>IFERROR(VLOOKUP(Y127,Data!$G$65:$K$79,4,0),"")</f>
        <v/>
      </c>
      <c r="AG127" s="51" t="e">
        <f>#REF!</f>
        <v>#REF!</v>
      </c>
      <c r="AK127">
        <f t="shared" si="16"/>
        <v>0</v>
      </c>
      <c r="AL127">
        <f t="shared" si="17"/>
        <v>0</v>
      </c>
      <c r="AM127" s="70">
        <f t="shared" si="18"/>
        <v>0</v>
      </c>
      <c r="AN127" s="7" t="b">
        <f t="shared" si="19"/>
        <v>0</v>
      </c>
    </row>
    <row r="128" spans="1:40" x14ac:dyDescent="0.3">
      <c r="A128" s="50">
        <f>IF(D128="A",_xlfn.IFNA(INDEX(Data!$H$24:$J$28,MATCH('DL 1'!E129,Data!$G$24:$G$28,1),MATCH('DL 1'!D129,Data!$H$23:$J$23,1)),0),0)</f>
        <v>0</v>
      </c>
      <c r="B128">
        <f>IF('DL 1'!F129="Y",Q128,0)</f>
        <v>0</v>
      </c>
      <c r="C128" t="e">
        <f>_xlfn.IFNA(INDEX(Data!$H$24:$J$28,MATCH(#REF!,Data!$G$24:$G$28,1),MATCH(#REF!,Data!$H$23:$J$23,1)),0)</f>
        <v>#REF!</v>
      </c>
      <c r="D128" t="str">
        <f>RIGHT(TRIM('DL 1'!G129),1)</f>
        <v/>
      </c>
      <c r="E128" s="8">
        <f>'DL 1'!E129*'DL 1'!D129</f>
        <v>0</v>
      </c>
      <c r="F128" t="str">
        <f>_xlfn.IFNA(VLOOKUP(TRIM('DL 1'!G129),Data!$A:$C,3,0),"")</f>
        <v/>
      </c>
      <c r="G128" s="7">
        <f>'DL 1'!E129</f>
        <v>0</v>
      </c>
      <c r="H128" s="21">
        <f>_xlfn.IFNA(VLOOKUP(TRIM('DL 1'!G129),Data!$A:$D,4,0),0)</f>
        <v>0</v>
      </c>
      <c r="I128">
        <f>_xlfn.IFNA(INDEX(Data!$G$5:$K$10,MATCH('DL 1'!D129,Data!$F$5:$F$10,1),MATCH(_xlfn.SINGLE(#REF!),Data!$G$4:$K$4,1)),0)</f>
        <v>0</v>
      </c>
      <c r="J128">
        <f>_xlfn.IFNA(IF(VLOOKUP(TRIM('DL 1'!G129),Data!$A:$C,3,0)="ST1",H128*I128*G128,IF(VLOOKUP(TRIM('DL 1'!G129),Data!$A:$C,3,0)="IR0",H128*G128,MIN(H128:I128)*G128)),0)</f>
        <v>0</v>
      </c>
      <c r="K128" t="e">
        <f>_xlfn.IFNA(VLOOKUP(TRIM(#REF!),Data!$A:$D,4,0)*#REF!,0)</f>
        <v>#REF!</v>
      </c>
      <c r="L128">
        <f>IF(TRIM('DL 1'!G129)="EDCLNHT0IRNLI",20000,0)</f>
        <v>0</v>
      </c>
      <c r="M128">
        <f>IF(ISERROR(MATCH('DL 1'!A129,#REF!,0)),0,J128*2)</f>
        <v>0</v>
      </c>
      <c r="N128" t="e">
        <f>#REF!</f>
        <v>#REF!</v>
      </c>
      <c r="O128">
        <f>_xlfn.IFNA(VLOOKUP(RIGHT(VLOOKUP(TRIM('DL 1'!G129),Data!$A:$B,2,0),1),Data!$L$23:$M$30,2,0),0)</f>
        <v>0</v>
      </c>
      <c r="P128">
        <f t="shared" si="20"/>
        <v>0</v>
      </c>
      <c r="Q128" s="7" t="b">
        <f t="shared" si="11"/>
        <v>0</v>
      </c>
      <c r="R128" s="27">
        <f>INCENTIVE!$E$8</f>
        <v>130000000</v>
      </c>
      <c r="S128">
        <f>'DL 1'!D129</f>
        <v>0</v>
      </c>
      <c r="T128" t="str">
        <f t="shared" si="12"/>
        <v>1</v>
      </c>
      <c r="V128" t="str">
        <f t="shared" si="13"/>
        <v>1</v>
      </c>
      <c r="W128">
        <f t="shared" si="14"/>
        <v>0.25</v>
      </c>
      <c r="X128" s="7">
        <f>'DL 1'!E129</f>
        <v>0</v>
      </c>
      <c r="Y128" s="69">
        <f>'DL 1'!G129</f>
        <v>0</v>
      </c>
      <c r="AC128" t="str">
        <f>IFERROR(VLOOKUP(Y128,Data!$G$65:$K$79,2,0) *X128,"")</f>
        <v/>
      </c>
      <c r="AD128" s="7">
        <f t="shared" si="15"/>
        <v>0</v>
      </c>
      <c r="AE128">
        <f>'DL 1'!F129</f>
        <v>0</v>
      </c>
      <c r="AF128" t="str">
        <f>IFERROR(VLOOKUP(Y128,Data!$G$65:$K$79,4,0),"")</f>
        <v/>
      </c>
      <c r="AG128" s="51" t="e">
        <f>#REF!</f>
        <v>#REF!</v>
      </c>
      <c r="AK128">
        <f t="shared" si="16"/>
        <v>0</v>
      </c>
      <c r="AL128">
        <f t="shared" si="17"/>
        <v>0</v>
      </c>
      <c r="AM128" s="70">
        <f t="shared" si="18"/>
        <v>0</v>
      </c>
      <c r="AN128" s="7" t="b">
        <f t="shared" si="19"/>
        <v>0</v>
      </c>
    </row>
    <row r="129" spans="1:40" x14ac:dyDescent="0.3">
      <c r="A129" s="50">
        <f>IF(D129="A",_xlfn.IFNA(INDEX(Data!$H$24:$J$28,MATCH('DL 1'!E130,Data!$G$24:$G$28,1),MATCH('DL 1'!D130,Data!$H$23:$J$23,1)),0),0)</f>
        <v>0</v>
      </c>
      <c r="B129">
        <f>IF('DL 1'!F130="Y",Q129,0)</f>
        <v>0</v>
      </c>
      <c r="C129" t="e">
        <f>_xlfn.IFNA(INDEX(Data!$H$24:$J$28,MATCH(#REF!,Data!$G$24:$G$28,1),MATCH(#REF!,Data!$H$23:$J$23,1)),0)</f>
        <v>#REF!</v>
      </c>
      <c r="D129" t="str">
        <f>RIGHT(TRIM('DL 1'!G130),1)</f>
        <v/>
      </c>
      <c r="E129" s="8">
        <f>'DL 1'!E130*'DL 1'!D130</f>
        <v>0</v>
      </c>
      <c r="F129" t="str">
        <f>_xlfn.IFNA(VLOOKUP(TRIM('DL 1'!G130),Data!$A:$C,3,0),"")</f>
        <v/>
      </c>
      <c r="G129" s="7">
        <f>'DL 1'!E130</f>
        <v>0</v>
      </c>
      <c r="H129" s="21">
        <f>_xlfn.IFNA(VLOOKUP(TRIM('DL 1'!G130),Data!$A:$D,4,0),0)</f>
        <v>0</v>
      </c>
      <c r="I129">
        <f>_xlfn.IFNA(INDEX(Data!$G$5:$K$10,MATCH('DL 1'!D130,Data!$F$5:$F$10,1),MATCH(_xlfn.SINGLE(#REF!),Data!$G$4:$K$4,1)),0)</f>
        <v>0</v>
      </c>
      <c r="J129">
        <f>_xlfn.IFNA(IF(VLOOKUP(TRIM('DL 1'!G130),Data!$A:$C,3,0)="ST1",H129*I129*G129,IF(VLOOKUP(TRIM('DL 1'!G130),Data!$A:$C,3,0)="IR0",H129*G129,MIN(H129:I129)*G129)),0)</f>
        <v>0</v>
      </c>
      <c r="K129" t="e">
        <f>_xlfn.IFNA(VLOOKUP(TRIM(#REF!),Data!$A:$D,4,0)*#REF!,0)</f>
        <v>#REF!</v>
      </c>
      <c r="L129">
        <f>IF(TRIM('DL 1'!G130)="EDCLNHT0IRNLI",20000,0)</f>
        <v>0</v>
      </c>
      <c r="M129">
        <f>IF(ISERROR(MATCH('DL 1'!A130,#REF!,0)),0,J129*2)</f>
        <v>0</v>
      </c>
      <c r="N129" t="e">
        <f>#REF!</f>
        <v>#REF!</v>
      </c>
      <c r="O129">
        <f>_xlfn.IFNA(VLOOKUP(RIGHT(VLOOKUP(TRIM('DL 1'!G130),Data!$A:$B,2,0),1),Data!$L$23:$M$30,2,0),0)</f>
        <v>0</v>
      </c>
      <c r="P129">
        <f t="shared" si="20"/>
        <v>0</v>
      </c>
      <c r="Q129" s="7" t="b">
        <f t="shared" si="11"/>
        <v>0</v>
      </c>
      <c r="R129" s="27">
        <f>INCENTIVE!$E$8</f>
        <v>130000000</v>
      </c>
      <c r="S129">
        <f>'DL 1'!D130</f>
        <v>0</v>
      </c>
      <c r="T129" t="str">
        <f t="shared" si="12"/>
        <v>1</v>
      </c>
      <c r="V129" t="str">
        <f t="shared" si="13"/>
        <v>1</v>
      </c>
      <c r="W129">
        <f t="shared" si="14"/>
        <v>0.25</v>
      </c>
      <c r="X129" s="7">
        <f>'DL 1'!E130</f>
        <v>0</v>
      </c>
      <c r="Y129" s="69">
        <f>'DL 1'!G130</f>
        <v>0</v>
      </c>
      <c r="AC129" t="str">
        <f>IFERROR(VLOOKUP(Y129,Data!$G$65:$K$79,2,0) *X129,"")</f>
        <v/>
      </c>
      <c r="AD129" s="7">
        <f t="shared" si="15"/>
        <v>0</v>
      </c>
      <c r="AE129">
        <f>'DL 1'!F130</f>
        <v>0</v>
      </c>
      <c r="AF129" t="str">
        <f>IFERROR(VLOOKUP(Y129,Data!$G$65:$K$79,4,0),"")</f>
        <v/>
      </c>
      <c r="AG129" s="51" t="e">
        <f>#REF!</f>
        <v>#REF!</v>
      </c>
      <c r="AK129">
        <f t="shared" si="16"/>
        <v>0</v>
      </c>
      <c r="AL129">
        <f t="shared" si="17"/>
        <v>0</v>
      </c>
      <c r="AM129" s="70">
        <f t="shared" si="18"/>
        <v>0</v>
      </c>
      <c r="AN129" s="7" t="b">
        <f t="shared" si="19"/>
        <v>0</v>
      </c>
    </row>
    <row r="130" spans="1:40" x14ac:dyDescent="0.3">
      <c r="A130" s="50">
        <f>IF(D130="A",_xlfn.IFNA(INDEX(Data!$H$24:$J$28,MATCH('DL 1'!E131,Data!$G$24:$G$28,1),MATCH('DL 1'!D131,Data!$H$23:$J$23,1)),0),0)</f>
        <v>0</v>
      </c>
      <c r="B130">
        <f>IF('DL 1'!F131="Y",Q130,0)</f>
        <v>0</v>
      </c>
      <c r="C130" t="e">
        <f>_xlfn.IFNA(INDEX(Data!$H$24:$J$28,MATCH(#REF!,Data!$G$24:$G$28,1),MATCH(#REF!,Data!$H$23:$J$23,1)),0)</f>
        <v>#REF!</v>
      </c>
      <c r="D130" t="str">
        <f>RIGHT(TRIM('DL 1'!G131),1)</f>
        <v/>
      </c>
      <c r="E130" s="8">
        <f>'DL 1'!E131*'DL 1'!D131</f>
        <v>0</v>
      </c>
      <c r="F130" t="str">
        <f>_xlfn.IFNA(VLOOKUP(TRIM('DL 1'!G131),Data!$A:$C,3,0),"")</f>
        <v/>
      </c>
      <c r="G130" s="7">
        <f>'DL 1'!E131</f>
        <v>0</v>
      </c>
      <c r="H130" s="21">
        <f>_xlfn.IFNA(VLOOKUP(TRIM('DL 1'!G131),Data!$A:$D,4,0),0)</f>
        <v>0</v>
      </c>
      <c r="I130">
        <f>_xlfn.IFNA(INDEX(Data!$G$5:$K$10,MATCH('DL 1'!D131,Data!$F$5:$F$10,1),MATCH(_xlfn.SINGLE(#REF!),Data!$G$4:$K$4,1)),0)</f>
        <v>0</v>
      </c>
      <c r="J130">
        <f>_xlfn.IFNA(IF(VLOOKUP(TRIM('DL 1'!G131),Data!$A:$C,3,0)="ST1",H130*I130*G130,IF(VLOOKUP(TRIM('DL 1'!G131),Data!$A:$C,3,0)="IR0",H130*G130,MIN(H130:I130)*G130)),0)</f>
        <v>0</v>
      </c>
      <c r="K130" t="e">
        <f>_xlfn.IFNA(VLOOKUP(TRIM(#REF!),Data!$A:$D,4,0)*#REF!,0)</f>
        <v>#REF!</v>
      </c>
      <c r="L130">
        <f>IF(TRIM('DL 1'!G131)="EDCLNHT0IRNLI",20000,0)</f>
        <v>0</v>
      </c>
      <c r="M130">
        <f>IF(ISERROR(MATCH('DL 1'!A131,#REF!,0)),0,J130*2)</f>
        <v>0</v>
      </c>
      <c r="N130" t="e">
        <f>#REF!</f>
        <v>#REF!</v>
      </c>
      <c r="O130">
        <f>_xlfn.IFNA(VLOOKUP(RIGHT(VLOOKUP(TRIM('DL 1'!G131),Data!$A:$B,2,0),1),Data!$L$23:$M$30,2,0),0)</f>
        <v>0</v>
      </c>
      <c r="P130">
        <f t="shared" si="20"/>
        <v>0</v>
      </c>
      <c r="Q130" s="7" t="b">
        <f t="shared" si="11"/>
        <v>0</v>
      </c>
      <c r="R130" s="27">
        <f>INCENTIVE!$E$8</f>
        <v>130000000</v>
      </c>
      <c r="S130">
        <f>'DL 1'!D131</f>
        <v>0</v>
      </c>
      <c r="T130" t="str">
        <f t="shared" si="12"/>
        <v>1</v>
      </c>
      <c r="V130" t="str">
        <f t="shared" si="13"/>
        <v>1</v>
      </c>
      <c r="W130">
        <f t="shared" si="14"/>
        <v>0.25</v>
      </c>
      <c r="X130" s="7">
        <f>'DL 1'!E131</f>
        <v>0</v>
      </c>
      <c r="Y130" s="69">
        <f>'DL 1'!G131</f>
        <v>0</v>
      </c>
      <c r="AC130" t="str">
        <f>IFERROR(VLOOKUP(Y130,Data!$G$65:$K$79,2,0) *X130,"")</f>
        <v/>
      </c>
      <c r="AD130" s="7">
        <f t="shared" si="15"/>
        <v>0</v>
      </c>
      <c r="AE130">
        <f>'DL 1'!F131</f>
        <v>0</v>
      </c>
      <c r="AF130" t="str">
        <f>IFERROR(VLOOKUP(Y130,Data!$G$65:$K$79,4,0),"")</f>
        <v/>
      </c>
      <c r="AG130" s="51" t="e">
        <f>#REF!</f>
        <v>#REF!</v>
      </c>
      <c r="AK130">
        <f t="shared" si="16"/>
        <v>0</v>
      </c>
      <c r="AL130">
        <f t="shared" si="17"/>
        <v>0</v>
      </c>
      <c r="AM130" s="70">
        <f t="shared" si="18"/>
        <v>0</v>
      </c>
      <c r="AN130" s="7" t="b">
        <f t="shared" si="19"/>
        <v>0</v>
      </c>
    </row>
    <row r="131" spans="1:40" x14ac:dyDescent="0.3">
      <c r="A131" s="50">
        <f>IF(D131="A",_xlfn.IFNA(INDEX(Data!$H$24:$J$28,MATCH('DL 1'!E132,Data!$G$24:$G$28,1),MATCH('DL 1'!D132,Data!$H$23:$J$23,1)),0),0)</f>
        <v>0</v>
      </c>
      <c r="B131">
        <f>IF('DL 1'!F132="Y",Q131,0)</f>
        <v>0</v>
      </c>
      <c r="C131" t="e">
        <f>_xlfn.IFNA(INDEX(Data!$H$24:$J$28,MATCH(#REF!,Data!$G$24:$G$28,1),MATCH(#REF!,Data!$H$23:$J$23,1)),0)</f>
        <v>#REF!</v>
      </c>
      <c r="D131" t="str">
        <f>RIGHT(TRIM('DL 1'!G132),1)</f>
        <v/>
      </c>
      <c r="E131" s="8">
        <f>'DL 1'!E132*'DL 1'!D132</f>
        <v>0</v>
      </c>
      <c r="F131" t="str">
        <f>_xlfn.IFNA(VLOOKUP(TRIM('DL 1'!G132),Data!$A:$C,3,0),"")</f>
        <v/>
      </c>
      <c r="G131" s="7">
        <f>'DL 1'!E132</f>
        <v>0</v>
      </c>
      <c r="H131" s="21">
        <f>_xlfn.IFNA(VLOOKUP(TRIM('DL 1'!G132),Data!$A:$D,4,0),0)</f>
        <v>0</v>
      </c>
      <c r="I131">
        <f>_xlfn.IFNA(INDEX(Data!$G$5:$K$10,MATCH('DL 1'!D132,Data!$F$5:$F$10,1),MATCH(_xlfn.SINGLE(#REF!),Data!$G$4:$K$4,1)),0)</f>
        <v>0</v>
      </c>
      <c r="J131">
        <f>_xlfn.IFNA(IF(VLOOKUP(TRIM('DL 1'!G132),Data!$A:$C,3,0)="ST1",H131*I131*G131,IF(VLOOKUP(TRIM('DL 1'!G132),Data!$A:$C,3,0)="IR0",H131*G131,MIN(H131:I131)*G131)),0)</f>
        <v>0</v>
      </c>
      <c r="K131" t="e">
        <f>_xlfn.IFNA(VLOOKUP(TRIM(#REF!),Data!$A:$D,4,0)*#REF!,0)</f>
        <v>#REF!</v>
      </c>
      <c r="L131">
        <f>IF(TRIM('DL 1'!G132)="EDCLNHT0IRNLI",20000,0)</f>
        <v>0</v>
      </c>
      <c r="M131">
        <f>IF(ISERROR(MATCH('DL 1'!A132,#REF!,0)),0,J131*2)</f>
        <v>0</v>
      </c>
      <c r="N131" t="e">
        <f>#REF!</f>
        <v>#REF!</v>
      </c>
      <c r="O131">
        <f>_xlfn.IFNA(VLOOKUP(RIGHT(VLOOKUP(TRIM('DL 1'!G132),Data!$A:$B,2,0),1),Data!$L$23:$M$30,2,0),0)</f>
        <v>0</v>
      </c>
      <c r="P131">
        <f t="shared" si="20"/>
        <v>0</v>
      </c>
      <c r="Q131" s="7" t="b">
        <f t="shared" ref="Q131:Q194" si="21">IF(AND(P131=1,S131&lt;15),10000,IF(AND(P131=1,S131&gt;=15,S131&lt;18),15000,IF(AND(P131=1,S131&gt;=18),20000,(IF(AND(P131=2,S131&lt;15),18000,IF(AND(P131=2,S131&gt;=15,S131&lt;18),23000,IF(AND(P131=2,S131&gt;=18),28000,IF(AND(P131=3,S131&lt;15),26000,IF(AND(P131=3,S131&gt;=15,S131&lt;18),31000,IF(AND(P131=3,S131&gt;=18),36000,IF(AND(P131=4,S131&lt;15),34000,IF(AND(P131=4,S131&gt;=15,S131&lt;18),39000,IF(AND(P131=4,S131&gt;=18),44000)))))))))))))</f>
        <v>0</v>
      </c>
      <c r="R131" s="27">
        <f>INCENTIVE!$E$8</f>
        <v>130000000</v>
      </c>
      <c r="S131">
        <f>'DL 1'!D132</f>
        <v>0</v>
      </c>
      <c r="T131" t="str">
        <f t="shared" ref="T131:T194" si="22">(IF(S131&gt;=24,"5",IF(S131&gt;=18,"4",IF(S131&gt;=15,"3",IF(S131&gt;=12,"2","1")))))</f>
        <v>1</v>
      </c>
      <c r="V131" t="str">
        <f t="shared" ref="V131:V194" si="23">(IF(S131&gt;=12,"6",IF(S131&gt;=9,"5",IF(S131&gt;=8,"4",IF(S131&gt;=7,"3",IF(S131=6,"2","1"))))))</f>
        <v>1</v>
      </c>
      <c r="W131">
        <f t="shared" ref="W131:W194" si="24">IF(AND(V131="6",R131&gt;=7.7),115%,IF(AND(V131="6",R131&gt;=7.5),105%,IF(AND(V131="6",R131&gt;=7.3),100%,IF(AND(V131="6",R131&gt;=7),100%,IF(AND(V131="6",R131&lt;7),100%,IF(AND(V131="5",R131&gt;=7.7),110%,IF(AND(V131="5",R131&gt;=7.5),100%,IF(AND(V131="5",R131&gt;=7.3),100%,IF(AND(V131="5",R131&gt;=7),100%,IF(AND(V131="5",R131&lt;7),100%,IF(AND(V131="4",R131&gt;=7.7),105%,IF(AND(V131="4",R131&gt;=7.5),100%,IF(AND(V131="4",R131&gt;=7.3),95%,IF(AND(V131="4",R131&gt;=7),90%,IF(AND(V131="4",R131&lt;7),80%,IF(AND(V131="3",R131&gt;=7.7),100%,IF(AND(V131="3",R131&gt;=7.5),90%,IF(AND(V131="3",R131&gt;=7.3),80%,IF(AND(V131="3",R131&gt;=7),70%,IF(AND(V131="3",R131&lt;7),60%,IF(AND(V131="2",R131&gt;=7.7),60%,IF(AND(V131="2",R131&gt;=7.5),50%,IF(AND(V131="2",R131&gt;=7.3),35%,IF(AND(V131="2",R131&gt;=7),35%,IF(AND(V131="2",R131&lt;7),25%,25%)))))))))))))))))))))))))</f>
        <v>0.25</v>
      </c>
      <c r="X131" s="7">
        <f>'DL 1'!E132</f>
        <v>0</v>
      </c>
      <c r="Y131" s="69">
        <f>'DL 1'!G132</f>
        <v>0</v>
      </c>
      <c r="AC131" t="str">
        <f>IFERROR(VLOOKUP(Y131,Data!$G$65:$K$79,2,0) *X131,"")</f>
        <v/>
      </c>
      <c r="AD131" s="7">
        <f t="shared" ref="AD131:AD194" si="25">SUM(AC131)</f>
        <v>0</v>
      </c>
      <c r="AE131">
        <f>'DL 1'!F132</f>
        <v>0</v>
      </c>
      <c r="AF131" t="str">
        <f>IFERROR(VLOOKUP(Y131,Data!$G$65:$K$79,4,0),"")</f>
        <v/>
      </c>
      <c r="AG131" s="51" t="e">
        <f>#REF!</f>
        <v>#REF!</v>
      </c>
      <c r="AK131">
        <f t="shared" ref="AK131:AK194" si="26">IF(G131&lt;1,0,IF(G131&lt;12000000,1,IF(AND(G131&gt;=12000000,G131&lt;25000000),2,IF(AND(G131&gt;=25000000,G131&lt;50000000),3,IF(AND(G131&gt;=50000000),4,)))))</f>
        <v>0</v>
      </c>
      <c r="AL131">
        <f t="shared" ref="AL131:AL194" si="27">IF(AND(S131&lt;12,Y131="A"),0.9,IF(AND(S131&lt;12,Y131="B"),0.7,IF(AND(S131&lt;12,Y131="C"),0,IF(AND(S131&lt;12,Y131="D"),0,IF(AND(S131&gt;=12,S131&lt;15,Y131="A"),1.2,IF(AND(S131&gt;=12,S131&lt;15,Y131="B"),1,IF(AND(S131&gt;=12,S131&lt;15,Y131="C"),0.1,IF(AND(S131&gt;=12,S131&lt;15,Y131="D"),0,IF(AND(S131&gt;=15,S131&lt;18,Y131="A"),1.3,IF(AND(S131&gt;=15,S131&lt;18,Y131="B"),1.1,IF(AND(S131&gt;=15,S131&lt;18,Y131="C"),0.3,IF(AND(S131&gt;=15,S131&lt;18,Y131="D"),0,IF(AND(S131&gt;=18,S131&lt;24,Y131="A"),1.5,IF(AND(S131&gt;=18,S131&lt;24,Y131="B"),1.3,IF(AND(S131&gt;=18,S131&lt;24,Y131="C"),0.4,IF(AND(S131&gt;=18,S131&lt;24,Y131="D"),0,IF(AND(S131&gt;=24,Y131="A"),1.6,IF(AND(S131&gt;=24,Y131="B"),1.4,IF(AND(S131&gt;=24,Y131="C"),0.5,IF(AND(S131&gt;=24,Y131="D"),0,))))))))))))))))))))</f>
        <v>0</v>
      </c>
      <c r="AM131" s="70">
        <f t="shared" ref="AM131:AM194" si="28">X131*(AL131/100)</f>
        <v>0</v>
      </c>
      <c r="AN131" s="7" t="b">
        <f t="shared" ref="AN131:AN194" si="29">Q131</f>
        <v>0</v>
      </c>
    </row>
    <row r="132" spans="1:40" x14ac:dyDescent="0.3">
      <c r="A132" s="50">
        <f>IF(D132="A",_xlfn.IFNA(INDEX(Data!$H$24:$J$28,MATCH('DL 1'!E133,Data!$G$24:$G$28,1),MATCH('DL 1'!D133,Data!$H$23:$J$23,1)),0),0)</f>
        <v>0</v>
      </c>
      <c r="B132">
        <f>IF('DL 1'!F133="Y",Q132,0)</f>
        <v>0</v>
      </c>
      <c r="C132" t="e">
        <f>_xlfn.IFNA(INDEX(Data!$H$24:$J$28,MATCH(#REF!,Data!$G$24:$G$28,1),MATCH(#REF!,Data!$H$23:$J$23,1)),0)</f>
        <v>#REF!</v>
      </c>
      <c r="D132" t="str">
        <f>RIGHT(TRIM('DL 1'!G133),1)</f>
        <v/>
      </c>
      <c r="E132" s="8">
        <f>'DL 1'!E133*'DL 1'!D133</f>
        <v>0</v>
      </c>
      <c r="F132" t="str">
        <f>_xlfn.IFNA(VLOOKUP(TRIM('DL 1'!G133),Data!$A:$C,3,0),"")</f>
        <v/>
      </c>
      <c r="G132" s="7">
        <f>'DL 1'!E133</f>
        <v>0</v>
      </c>
      <c r="H132" s="21">
        <f>_xlfn.IFNA(VLOOKUP(TRIM('DL 1'!G133),Data!$A:$D,4,0),0)</f>
        <v>0</v>
      </c>
      <c r="I132">
        <f>_xlfn.IFNA(INDEX(Data!$G$5:$K$10,MATCH('DL 1'!D133,Data!$F$5:$F$10,1),MATCH(_xlfn.SINGLE(#REF!),Data!$G$4:$K$4,1)),0)</f>
        <v>0</v>
      </c>
      <c r="J132">
        <f>_xlfn.IFNA(IF(VLOOKUP(TRIM('DL 1'!G133),Data!$A:$C,3,0)="ST1",H132*I132*G132,IF(VLOOKUP(TRIM('DL 1'!G133),Data!$A:$C,3,0)="IR0",H132*G132,MIN(H132:I132)*G132)),0)</f>
        <v>0</v>
      </c>
      <c r="K132" t="e">
        <f>_xlfn.IFNA(VLOOKUP(TRIM(#REF!),Data!$A:$D,4,0)*#REF!,0)</f>
        <v>#REF!</v>
      </c>
      <c r="L132">
        <f>IF(TRIM('DL 1'!G133)="EDCLNHT0IRNLI",20000,0)</f>
        <v>0</v>
      </c>
      <c r="M132">
        <f>IF(ISERROR(MATCH('DL 1'!A133,#REF!,0)),0,J132*2)</f>
        <v>0</v>
      </c>
      <c r="N132" t="e">
        <f>#REF!</f>
        <v>#REF!</v>
      </c>
      <c r="O132">
        <f>_xlfn.IFNA(VLOOKUP(RIGHT(VLOOKUP(TRIM('DL 1'!G133),Data!$A:$B,2,0),1),Data!$L$23:$M$30,2,0),0)</f>
        <v>0</v>
      </c>
      <c r="P132">
        <f t="shared" ref="P132:P195" si="30">IF(G132&lt;1,0,IF(G132&lt;12000000,1,IF(AND(G132&gt;=12000000,G132&lt;25000000),2,IF(AND(G132&gt;=25000000,G132&lt;50000000),3,IF(AND(G132&gt;=50000000),4,)))))</f>
        <v>0</v>
      </c>
      <c r="Q132" s="7" t="b">
        <f t="shared" si="21"/>
        <v>0</v>
      </c>
      <c r="R132" s="27">
        <f>INCENTIVE!$E$8</f>
        <v>130000000</v>
      </c>
      <c r="S132">
        <f>'DL 1'!D133</f>
        <v>0</v>
      </c>
      <c r="T132" t="str">
        <f t="shared" si="22"/>
        <v>1</v>
      </c>
      <c r="V132" t="str">
        <f t="shared" si="23"/>
        <v>1</v>
      </c>
      <c r="W132">
        <f t="shared" si="24"/>
        <v>0.25</v>
      </c>
      <c r="X132" s="7">
        <f>'DL 1'!E133</f>
        <v>0</v>
      </c>
      <c r="Y132" s="69">
        <f>'DL 1'!G133</f>
        <v>0</v>
      </c>
      <c r="AC132" t="str">
        <f>IFERROR(VLOOKUP(Y132,Data!$G$65:$K$79,2,0) *X132,"")</f>
        <v/>
      </c>
      <c r="AD132" s="7">
        <f t="shared" si="25"/>
        <v>0</v>
      </c>
      <c r="AE132">
        <f>'DL 1'!F133</f>
        <v>0</v>
      </c>
      <c r="AF132" t="str">
        <f>IFERROR(VLOOKUP(Y132,Data!$G$65:$K$79,4,0),"")</f>
        <v/>
      </c>
      <c r="AG132" s="51" t="e">
        <f>#REF!</f>
        <v>#REF!</v>
      </c>
      <c r="AK132">
        <f t="shared" si="26"/>
        <v>0</v>
      </c>
      <c r="AL132">
        <f t="shared" si="27"/>
        <v>0</v>
      </c>
      <c r="AM132" s="70">
        <f t="shared" si="28"/>
        <v>0</v>
      </c>
      <c r="AN132" s="7" t="b">
        <f t="shared" si="29"/>
        <v>0</v>
      </c>
    </row>
    <row r="133" spans="1:40" x14ac:dyDescent="0.3">
      <c r="A133" s="50">
        <f>IF(D133="A",_xlfn.IFNA(INDEX(Data!$H$24:$J$28,MATCH('DL 1'!E134,Data!$G$24:$G$28,1),MATCH('DL 1'!D134,Data!$H$23:$J$23,1)),0),0)</f>
        <v>0</v>
      </c>
      <c r="B133">
        <f>IF('DL 1'!F134="Y",Q133,0)</f>
        <v>0</v>
      </c>
      <c r="C133" t="e">
        <f>_xlfn.IFNA(INDEX(Data!$H$24:$J$28,MATCH(#REF!,Data!$G$24:$G$28,1),MATCH(#REF!,Data!$H$23:$J$23,1)),0)</f>
        <v>#REF!</v>
      </c>
      <c r="D133" t="str">
        <f>RIGHT(TRIM('DL 1'!G134),1)</f>
        <v/>
      </c>
      <c r="E133" s="8">
        <f>'DL 1'!E134*'DL 1'!D134</f>
        <v>0</v>
      </c>
      <c r="F133" t="str">
        <f>_xlfn.IFNA(VLOOKUP(TRIM('DL 1'!G134),Data!$A:$C,3,0),"")</f>
        <v/>
      </c>
      <c r="G133" s="7">
        <f>'DL 1'!E134</f>
        <v>0</v>
      </c>
      <c r="H133" s="21">
        <f>_xlfn.IFNA(VLOOKUP(TRIM('DL 1'!G134),Data!$A:$D,4,0),0)</f>
        <v>0</v>
      </c>
      <c r="I133">
        <f>_xlfn.IFNA(INDEX(Data!$G$5:$K$10,MATCH('DL 1'!D134,Data!$F$5:$F$10,1),MATCH(_xlfn.SINGLE(#REF!),Data!$G$4:$K$4,1)),0)</f>
        <v>0</v>
      </c>
      <c r="J133">
        <f>_xlfn.IFNA(IF(VLOOKUP(TRIM('DL 1'!G134),Data!$A:$C,3,0)="ST1",H133*I133*G133,IF(VLOOKUP(TRIM('DL 1'!G134),Data!$A:$C,3,0)="IR0",H133*G133,MIN(H133:I133)*G133)),0)</f>
        <v>0</v>
      </c>
      <c r="K133" t="e">
        <f>_xlfn.IFNA(VLOOKUP(TRIM(#REF!),Data!$A:$D,4,0)*#REF!,0)</f>
        <v>#REF!</v>
      </c>
      <c r="L133">
        <f>IF(TRIM('DL 1'!G134)="EDCLNHT0IRNLI",20000,0)</f>
        <v>0</v>
      </c>
      <c r="M133">
        <f>IF(ISERROR(MATCH('DL 1'!A134,#REF!,0)),0,J133*2)</f>
        <v>0</v>
      </c>
      <c r="N133" t="e">
        <f>#REF!</f>
        <v>#REF!</v>
      </c>
      <c r="O133">
        <f>_xlfn.IFNA(VLOOKUP(RIGHT(VLOOKUP(TRIM('DL 1'!G134),Data!$A:$B,2,0),1),Data!$L$23:$M$30,2,0),0)</f>
        <v>0</v>
      </c>
      <c r="P133">
        <f t="shared" si="30"/>
        <v>0</v>
      </c>
      <c r="Q133" s="7" t="b">
        <f t="shared" si="21"/>
        <v>0</v>
      </c>
      <c r="R133" s="27">
        <f>INCENTIVE!$E$8</f>
        <v>130000000</v>
      </c>
      <c r="S133">
        <f>'DL 1'!D134</f>
        <v>0</v>
      </c>
      <c r="T133" t="str">
        <f t="shared" si="22"/>
        <v>1</v>
      </c>
      <c r="V133" t="str">
        <f t="shared" si="23"/>
        <v>1</v>
      </c>
      <c r="W133">
        <f t="shared" si="24"/>
        <v>0.25</v>
      </c>
      <c r="X133" s="7">
        <f>'DL 1'!E134</f>
        <v>0</v>
      </c>
      <c r="Y133" s="69">
        <f>'DL 1'!G134</f>
        <v>0</v>
      </c>
      <c r="AC133" t="str">
        <f>IFERROR(VLOOKUP(Y133,Data!$G$65:$K$79,2,0) *X133,"")</f>
        <v/>
      </c>
      <c r="AD133" s="7">
        <f t="shared" si="25"/>
        <v>0</v>
      </c>
      <c r="AE133">
        <f>'DL 1'!F134</f>
        <v>0</v>
      </c>
      <c r="AF133" t="str">
        <f>IFERROR(VLOOKUP(Y133,Data!$G$65:$K$79,4,0),"")</f>
        <v/>
      </c>
      <c r="AG133" s="51" t="e">
        <f>#REF!</f>
        <v>#REF!</v>
      </c>
      <c r="AK133">
        <f t="shared" si="26"/>
        <v>0</v>
      </c>
      <c r="AL133">
        <f t="shared" si="27"/>
        <v>0</v>
      </c>
      <c r="AM133" s="70">
        <f t="shared" si="28"/>
        <v>0</v>
      </c>
      <c r="AN133" s="7" t="b">
        <f t="shared" si="29"/>
        <v>0</v>
      </c>
    </row>
    <row r="134" spans="1:40" x14ac:dyDescent="0.3">
      <c r="A134" s="50">
        <f>IF(D134="A",_xlfn.IFNA(INDEX(Data!$H$24:$J$28,MATCH('DL 1'!E135,Data!$G$24:$G$28,1),MATCH('DL 1'!D135,Data!$H$23:$J$23,1)),0),0)</f>
        <v>0</v>
      </c>
      <c r="B134">
        <f>IF('DL 1'!F135="Y",Q134,0)</f>
        <v>0</v>
      </c>
      <c r="C134" t="e">
        <f>_xlfn.IFNA(INDEX(Data!$H$24:$J$28,MATCH(#REF!,Data!$G$24:$G$28,1),MATCH(#REF!,Data!$H$23:$J$23,1)),0)</f>
        <v>#REF!</v>
      </c>
      <c r="D134" t="str">
        <f>RIGHT(TRIM('DL 1'!G135),1)</f>
        <v/>
      </c>
      <c r="E134" s="8">
        <f>'DL 1'!E135*'DL 1'!D135</f>
        <v>0</v>
      </c>
      <c r="F134" t="str">
        <f>_xlfn.IFNA(VLOOKUP(TRIM('DL 1'!G135),Data!$A:$C,3,0),"")</f>
        <v/>
      </c>
      <c r="G134" s="7">
        <f>'DL 1'!E135</f>
        <v>0</v>
      </c>
      <c r="H134" s="21">
        <f>_xlfn.IFNA(VLOOKUP(TRIM('DL 1'!G135),Data!$A:$D,4,0),0)</f>
        <v>0</v>
      </c>
      <c r="I134">
        <f>_xlfn.IFNA(INDEX(Data!$G$5:$K$10,MATCH('DL 1'!D135,Data!$F$5:$F$10,1),MATCH(_xlfn.SINGLE(#REF!),Data!$G$4:$K$4,1)),0)</f>
        <v>0</v>
      </c>
      <c r="J134">
        <f>_xlfn.IFNA(IF(VLOOKUP(TRIM('DL 1'!G135),Data!$A:$C,3,0)="ST1",H134*I134*G134,IF(VLOOKUP(TRIM('DL 1'!G135),Data!$A:$C,3,0)="IR0",H134*G134,MIN(H134:I134)*G134)),0)</f>
        <v>0</v>
      </c>
      <c r="K134" t="e">
        <f>_xlfn.IFNA(VLOOKUP(TRIM(#REF!),Data!$A:$D,4,0)*#REF!,0)</f>
        <v>#REF!</v>
      </c>
      <c r="L134">
        <f>IF(TRIM('DL 1'!G135)="EDCLNHT0IRNLI",20000,0)</f>
        <v>0</v>
      </c>
      <c r="M134">
        <f>IF(ISERROR(MATCH('DL 1'!A135,#REF!,0)),0,J134*2)</f>
        <v>0</v>
      </c>
      <c r="N134" t="e">
        <f>#REF!</f>
        <v>#REF!</v>
      </c>
      <c r="O134">
        <f>_xlfn.IFNA(VLOOKUP(RIGHT(VLOOKUP(TRIM('DL 1'!G135),Data!$A:$B,2,0),1),Data!$L$23:$M$30,2,0),0)</f>
        <v>0</v>
      </c>
      <c r="P134">
        <f t="shared" si="30"/>
        <v>0</v>
      </c>
      <c r="Q134" s="7" t="b">
        <f t="shared" si="21"/>
        <v>0</v>
      </c>
      <c r="R134" s="27">
        <f>INCENTIVE!$E$8</f>
        <v>130000000</v>
      </c>
      <c r="S134">
        <f>'DL 1'!D135</f>
        <v>0</v>
      </c>
      <c r="T134" t="str">
        <f t="shared" si="22"/>
        <v>1</v>
      </c>
      <c r="V134" t="str">
        <f t="shared" si="23"/>
        <v>1</v>
      </c>
      <c r="W134">
        <f t="shared" si="24"/>
        <v>0.25</v>
      </c>
      <c r="X134" s="7">
        <f>'DL 1'!E135</f>
        <v>0</v>
      </c>
      <c r="Y134" s="69">
        <f>'DL 1'!G135</f>
        <v>0</v>
      </c>
      <c r="AC134" t="str">
        <f>IFERROR(VLOOKUP(Y134,Data!$G$65:$K$79,2,0) *X134,"")</f>
        <v/>
      </c>
      <c r="AD134" s="7">
        <f t="shared" si="25"/>
        <v>0</v>
      </c>
      <c r="AE134">
        <f>'DL 1'!F135</f>
        <v>0</v>
      </c>
      <c r="AF134" t="str">
        <f>IFERROR(VLOOKUP(Y134,Data!$G$65:$K$79,4,0),"")</f>
        <v/>
      </c>
      <c r="AG134" s="51" t="e">
        <f>#REF!</f>
        <v>#REF!</v>
      </c>
      <c r="AK134">
        <f t="shared" si="26"/>
        <v>0</v>
      </c>
      <c r="AL134">
        <f t="shared" si="27"/>
        <v>0</v>
      </c>
      <c r="AM134" s="70">
        <f t="shared" si="28"/>
        <v>0</v>
      </c>
      <c r="AN134" s="7" t="b">
        <f t="shared" si="29"/>
        <v>0</v>
      </c>
    </row>
    <row r="135" spans="1:40" x14ac:dyDescent="0.3">
      <c r="A135" s="50">
        <f>IF(D135="A",_xlfn.IFNA(INDEX(Data!$H$24:$J$28,MATCH('DL 1'!E136,Data!$G$24:$G$28,1),MATCH('DL 1'!D136,Data!$H$23:$J$23,1)),0),0)</f>
        <v>0</v>
      </c>
      <c r="B135">
        <f>IF('DL 1'!F136="Y",Q135,0)</f>
        <v>0</v>
      </c>
      <c r="C135" t="e">
        <f>_xlfn.IFNA(INDEX(Data!$H$24:$J$28,MATCH(#REF!,Data!$G$24:$G$28,1),MATCH(#REF!,Data!$H$23:$J$23,1)),0)</f>
        <v>#REF!</v>
      </c>
      <c r="D135" t="str">
        <f>RIGHT(TRIM('DL 1'!G136),1)</f>
        <v/>
      </c>
      <c r="E135" s="8">
        <f>'DL 1'!E136*'DL 1'!D136</f>
        <v>0</v>
      </c>
      <c r="F135" t="str">
        <f>_xlfn.IFNA(VLOOKUP(TRIM('DL 1'!G136),Data!$A:$C,3,0),"")</f>
        <v/>
      </c>
      <c r="G135" s="7">
        <f>'DL 1'!E136</f>
        <v>0</v>
      </c>
      <c r="H135" s="21">
        <f>_xlfn.IFNA(VLOOKUP(TRIM('DL 1'!G136),Data!$A:$D,4,0),0)</f>
        <v>0</v>
      </c>
      <c r="I135">
        <f>_xlfn.IFNA(INDEX(Data!$G$5:$K$10,MATCH('DL 1'!D136,Data!$F$5:$F$10,1),MATCH(_xlfn.SINGLE(#REF!),Data!$G$4:$K$4,1)),0)</f>
        <v>0</v>
      </c>
      <c r="J135">
        <f>_xlfn.IFNA(IF(VLOOKUP(TRIM('DL 1'!G136),Data!$A:$C,3,0)="ST1",H135*I135*G135,IF(VLOOKUP(TRIM('DL 1'!G136),Data!$A:$C,3,0)="IR0",H135*G135,MIN(H135:I135)*G135)),0)</f>
        <v>0</v>
      </c>
      <c r="K135" t="e">
        <f>_xlfn.IFNA(VLOOKUP(TRIM(#REF!),Data!$A:$D,4,0)*#REF!,0)</f>
        <v>#REF!</v>
      </c>
      <c r="L135">
        <f>IF(TRIM('DL 1'!G136)="EDCLNHT0IRNLI",20000,0)</f>
        <v>0</v>
      </c>
      <c r="M135">
        <f>IF(ISERROR(MATCH('DL 1'!A136,#REF!,0)),0,J135*2)</f>
        <v>0</v>
      </c>
      <c r="N135" t="e">
        <f>#REF!</f>
        <v>#REF!</v>
      </c>
      <c r="O135">
        <f>_xlfn.IFNA(VLOOKUP(RIGHT(VLOOKUP(TRIM('DL 1'!G136),Data!$A:$B,2,0),1),Data!$L$23:$M$30,2,0),0)</f>
        <v>0</v>
      </c>
      <c r="P135">
        <f t="shared" si="30"/>
        <v>0</v>
      </c>
      <c r="Q135" s="7" t="b">
        <f t="shared" si="21"/>
        <v>0</v>
      </c>
      <c r="R135" s="27">
        <f>INCENTIVE!$E$8</f>
        <v>130000000</v>
      </c>
      <c r="S135">
        <f>'DL 1'!D136</f>
        <v>0</v>
      </c>
      <c r="T135" t="str">
        <f t="shared" si="22"/>
        <v>1</v>
      </c>
      <c r="V135" t="str">
        <f t="shared" si="23"/>
        <v>1</v>
      </c>
      <c r="W135">
        <f t="shared" si="24"/>
        <v>0.25</v>
      </c>
      <c r="X135" s="7">
        <f>'DL 1'!E136</f>
        <v>0</v>
      </c>
      <c r="Y135" s="69">
        <f>'DL 1'!G136</f>
        <v>0</v>
      </c>
      <c r="AC135" t="str">
        <f>IFERROR(VLOOKUP(Y135,Data!$G$65:$K$79,2,0) *X135,"")</f>
        <v/>
      </c>
      <c r="AD135" s="7">
        <f t="shared" si="25"/>
        <v>0</v>
      </c>
      <c r="AE135">
        <f>'DL 1'!F136</f>
        <v>0</v>
      </c>
      <c r="AF135" t="str">
        <f>IFERROR(VLOOKUP(Y135,Data!$G$65:$K$79,4,0),"")</f>
        <v/>
      </c>
      <c r="AG135" s="51" t="e">
        <f>#REF!</f>
        <v>#REF!</v>
      </c>
      <c r="AK135">
        <f t="shared" si="26"/>
        <v>0</v>
      </c>
      <c r="AL135">
        <f t="shared" si="27"/>
        <v>0</v>
      </c>
      <c r="AM135" s="70">
        <f t="shared" si="28"/>
        <v>0</v>
      </c>
      <c r="AN135" s="7" t="b">
        <f t="shared" si="29"/>
        <v>0</v>
      </c>
    </row>
    <row r="136" spans="1:40" x14ac:dyDescent="0.3">
      <c r="A136" s="50">
        <f>IF(D136="A",_xlfn.IFNA(INDEX(Data!$H$24:$J$28,MATCH('DL 1'!E137,Data!$G$24:$G$28,1),MATCH('DL 1'!D137,Data!$H$23:$J$23,1)),0),0)</f>
        <v>0</v>
      </c>
      <c r="B136">
        <f>IF('DL 1'!F137="Y",Q136,0)</f>
        <v>0</v>
      </c>
      <c r="C136" t="e">
        <f>_xlfn.IFNA(INDEX(Data!$H$24:$J$28,MATCH(#REF!,Data!$G$24:$G$28,1),MATCH(#REF!,Data!$H$23:$J$23,1)),0)</f>
        <v>#REF!</v>
      </c>
      <c r="D136" t="str">
        <f>RIGHT(TRIM('DL 1'!G137),1)</f>
        <v/>
      </c>
      <c r="E136" s="8">
        <f>'DL 1'!E137*'DL 1'!D137</f>
        <v>0</v>
      </c>
      <c r="F136" t="str">
        <f>_xlfn.IFNA(VLOOKUP(TRIM('DL 1'!G137),Data!$A:$C,3,0),"")</f>
        <v/>
      </c>
      <c r="G136" s="7">
        <f>'DL 1'!E137</f>
        <v>0</v>
      </c>
      <c r="H136" s="21">
        <f>_xlfn.IFNA(VLOOKUP(TRIM('DL 1'!G137),Data!$A:$D,4,0),0)</f>
        <v>0</v>
      </c>
      <c r="I136">
        <f>_xlfn.IFNA(INDEX(Data!$G$5:$K$10,MATCH('DL 1'!D137,Data!$F$5:$F$10,1),MATCH(_xlfn.SINGLE(#REF!),Data!$G$4:$K$4,1)),0)</f>
        <v>0</v>
      </c>
      <c r="J136">
        <f>_xlfn.IFNA(IF(VLOOKUP(TRIM('DL 1'!G137),Data!$A:$C,3,0)="ST1",H136*I136*G136,IF(VLOOKUP(TRIM('DL 1'!G137),Data!$A:$C,3,0)="IR0",H136*G136,MIN(H136:I136)*G136)),0)</f>
        <v>0</v>
      </c>
      <c r="K136" t="e">
        <f>_xlfn.IFNA(VLOOKUP(TRIM(#REF!),Data!$A:$D,4,0)*#REF!,0)</f>
        <v>#REF!</v>
      </c>
      <c r="L136">
        <f>IF(TRIM('DL 1'!G137)="EDCLNHT0IRNLI",20000,0)</f>
        <v>0</v>
      </c>
      <c r="M136">
        <f>IF(ISERROR(MATCH('DL 1'!A137,#REF!,0)),0,J136*2)</f>
        <v>0</v>
      </c>
      <c r="N136" t="e">
        <f>#REF!</f>
        <v>#REF!</v>
      </c>
      <c r="O136">
        <f>_xlfn.IFNA(VLOOKUP(RIGHT(VLOOKUP(TRIM('DL 1'!G137),Data!$A:$B,2,0),1),Data!$L$23:$M$30,2,0),0)</f>
        <v>0</v>
      </c>
      <c r="P136">
        <f t="shared" si="30"/>
        <v>0</v>
      </c>
      <c r="Q136" s="7" t="b">
        <f t="shared" si="21"/>
        <v>0</v>
      </c>
      <c r="R136" s="27">
        <f>INCENTIVE!$E$8</f>
        <v>130000000</v>
      </c>
      <c r="S136">
        <f>'DL 1'!D137</f>
        <v>0</v>
      </c>
      <c r="T136" t="str">
        <f t="shared" si="22"/>
        <v>1</v>
      </c>
      <c r="V136" t="str">
        <f t="shared" si="23"/>
        <v>1</v>
      </c>
      <c r="W136">
        <f t="shared" si="24"/>
        <v>0.25</v>
      </c>
      <c r="X136" s="7">
        <f>'DL 1'!E137</f>
        <v>0</v>
      </c>
      <c r="Y136" s="69">
        <f>'DL 1'!G137</f>
        <v>0</v>
      </c>
      <c r="AC136" t="str">
        <f>IFERROR(VLOOKUP(Y136,Data!$G$65:$K$79,2,0) *X136,"")</f>
        <v/>
      </c>
      <c r="AD136" s="7">
        <f t="shared" si="25"/>
        <v>0</v>
      </c>
      <c r="AE136">
        <f>'DL 1'!F137</f>
        <v>0</v>
      </c>
      <c r="AF136" t="str">
        <f>IFERROR(VLOOKUP(Y136,Data!$G$65:$K$79,4,0),"")</f>
        <v/>
      </c>
      <c r="AG136" s="51" t="e">
        <f>#REF!</f>
        <v>#REF!</v>
      </c>
      <c r="AK136">
        <f t="shared" si="26"/>
        <v>0</v>
      </c>
      <c r="AL136">
        <f t="shared" si="27"/>
        <v>0</v>
      </c>
      <c r="AM136" s="70">
        <f t="shared" si="28"/>
        <v>0</v>
      </c>
      <c r="AN136" s="7" t="b">
        <f t="shared" si="29"/>
        <v>0</v>
      </c>
    </row>
    <row r="137" spans="1:40" x14ac:dyDescent="0.3">
      <c r="A137" s="50">
        <f>IF(D137="A",_xlfn.IFNA(INDEX(Data!$H$24:$J$28,MATCH('DL 1'!E138,Data!$G$24:$G$28,1),MATCH('DL 1'!D138,Data!$H$23:$J$23,1)),0),0)</f>
        <v>0</v>
      </c>
      <c r="B137">
        <f>IF('DL 1'!F138="Y",Q137,0)</f>
        <v>0</v>
      </c>
      <c r="C137" t="e">
        <f>_xlfn.IFNA(INDEX(Data!$H$24:$J$28,MATCH(#REF!,Data!$G$24:$G$28,1),MATCH(#REF!,Data!$H$23:$J$23,1)),0)</f>
        <v>#REF!</v>
      </c>
      <c r="D137" t="str">
        <f>RIGHT(TRIM('DL 1'!G138),1)</f>
        <v/>
      </c>
      <c r="E137" s="8">
        <f>'DL 1'!E138*'DL 1'!D138</f>
        <v>0</v>
      </c>
      <c r="F137" t="str">
        <f>_xlfn.IFNA(VLOOKUP(TRIM('DL 1'!G138),Data!$A:$C,3,0),"")</f>
        <v/>
      </c>
      <c r="G137" s="7">
        <f>'DL 1'!E138</f>
        <v>0</v>
      </c>
      <c r="H137" s="21">
        <f>_xlfn.IFNA(VLOOKUP(TRIM('DL 1'!G138),Data!$A:$D,4,0),0)</f>
        <v>0</v>
      </c>
      <c r="I137">
        <f>_xlfn.IFNA(INDEX(Data!$G$5:$K$10,MATCH('DL 1'!D138,Data!$F$5:$F$10,1),MATCH(_xlfn.SINGLE(#REF!),Data!$G$4:$K$4,1)),0)</f>
        <v>0</v>
      </c>
      <c r="J137">
        <f>_xlfn.IFNA(IF(VLOOKUP(TRIM('DL 1'!G138),Data!$A:$C,3,0)="ST1",H137*I137*G137,IF(VLOOKUP(TRIM('DL 1'!G138),Data!$A:$C,3,0)="IR0",H137*G137,MIN(H137:I137)*G137)),0)</f>
        <v>0</v>
      </c>
      <c r="K137" t="e">
        <f>_xlfn.IFNA(VLOOKUP(TRIM(#REF!),Data!$A:$D,4,0)*#REF!,0)</f>
        <v>#REF!</v>
      </c>
      <c r="L137">
        <f>IF(TRIM('DL 1'!G138)="EDCLNHT0IRNLI",20000,0)</f>
        <v>0</v>
      </c>
      <c r="M137">
        <f>IF(ISERROR(MATCH('DL 1'!A138,#REF!,0)),0,J137*2)</f>
        <v>0</v>
      </c>
      <c r="N137" t="e">
        <f>#REF!</f>
        <v>#REF!</v>
      </c>
      <c r="O137">
        <f>_xlfn.IFNA(VLOOKUP(RIGHT(VLOOKUP(TRIM('DL 1'!G138),Data!$A:$B,2,0),1),Data!$L$23:$M$30,2,0),0)</f>
        <v>0</v>
      </c>
      <c r="P137">
        <f t="shared" si="30"/>
        <v>0</v>
      </c>
      <c r="Q137" s="7" t="b">
        <f t="shared" si="21"/>
        <v>0</v>
      </c>
      <c r="R137" s="27">
        <f>INCENTIVE!$E$8</f>
        <v>130000000</v>
      </c>
      <c r="S137">
        <f>'DL 1'!D138</f>
        <v>0</v>
      </c>
      <c r="T137" t="str">
        <f t="shared" si="22"/>
        <v>1</v>
      </c>
      <c r="V137" t="str">
        <f t="shared" si="23"/>
        <v>1</v>
      </c>
      <c r="W137">
        <f t="shared" si="24"/>
        <v>0.25</v>
      </c>
      <c r="X137" s="7">
        <f>'DL 1'!E138</f>
        <v>0</v>
      </c>
      <c r="Y137" s="69">
        <f>'DL 1'!G138</f>
        <v>0</v>
      </c>
      <c r="AC137" t="str">
        <f>IFERROR(VLOOKUP(Y137,Data!$G$65:$K$79,2,0) *X137,"")</f>
        <v/>
      </c>
      <c r="AD137" s="7">
        <f t="shared" si="25"/>
        <v>0</v>
      </c>
      <c r="AE137">
        <f>'DL 1'!F138</f>
        <v>0</v>
      </c>
      <c r="AF137" t="str">
        <f>IFERROR(VLOOKUP(Y137,Data!$G$65:$K$79,4,0),"")</f>
        <v/>
      </c>
      <c r="AG137" s="51" t="e">
        <f>#REF!</f>
        <v>#REF!</v>
      </c>
      <c r="AK137">
        <f t="shared" si="26"/>
        <v>0</v>
      </c>
      <c r="AL137">
        <f t="shared" si="27"/>
        <v>0</v>
      </c>
      <c r="AM137" s="70">
        <f t="shared" si="28"/>
        <v>0</v>
      </c>
      <c r="AN137" s="7" t="b">
        <f t="shared" si="29"/>
        <v>0</v>
      </c>
    </row>
    <row r="138" spans="1:40" x14ac:dyDescent="0.3">
      <c r="A138" s="50">
        <f>IF(D138="A",_xlfn.IFNA(INDEX(Data!$H$24:$J$28,MATCH('DL 1'!E139,Data!$G$24:$G$28,1),MATCH('DL 1'!D139,Data!$H$23:$J$23,1)),0),0)</f>
        <v>0</v>
      </c>
      <c r="B138">
        <f>IF('DL 1'!F139="Y",Q138,0)</f>
        <v>0</v>
      </c>
      <c r="C138" t="e">
        <f>_xlfn.IFNA(INDEX(Data!$H$24:$J$28,MATCH(#REF!,Data!$G$24:$G$28,1),MATCH(#REF!,Data!$H$23:$J$23,1)),0)</f>
        <v>#REF!</v>
      </c>
      <c r="D138" t="str">
        <f>RIGHT(TRIM('DL 1'!G139),1)</f>
        <v/>
      </c>
      <c r="E138" s="8">
        <f>'DL 1'!E139*'DL 1'!D139</f>
        <v>0</v>
      </c>
      <c r="F138" t="str">
        <f>_xlfn.IFNA(VLOOKUP(TRIM('DL 1'!G139),Data!$A:$C,3,0),"")</f>
        <v/>
      </c>
      <c r="G138" s="7">
        <f>'DL 1'!E139</f>
        <v>0</v>
      </c>
      <c r="H138" s="21">
        <f>_xlfn.IFNA(VLOOKUP(TRIM('DL 1'!G139),Data!$A:$D,4,0),0)</f>
        <v>0</v>
      </c>
      <c r="I138">
        <f>_xlfn.IFNA(INDEX(Data!$G$5:$K$10,MATCH('DL 1'!D139,Data!$F$5:$F$10,1),MATCH(_xlfn.SINGLE(#REF!),Data!$G$4:$K$4,1)),0)</f>
        <v>0</v>
      </c>
      <c r="J138">
        <f>_xlfn.IFNA(IF(VLOOKUP(TRIM('DL 1'!G139),Data!$A:$C,3,0)="ST1",H138*I138*G138,IF(VLOOKUP(TRIM('DL 1'!G139),Data!$A:$C,3,0)="IR0",H138*G138,MIN(H138:I138)*G138)),0)</f>
        <v>0</v>
      </c>
      <c r="K138" t="e">
        <f>_xlfn.IFNA(VLOOKUP(TRIM(#REF!),Data!$A:$D,4,0)*#REF!,0)</f>
        <v>#REF!</v>
      </c>
      <c r="L138">
        <f>IF(TRIM('DL 1'!G139)="EDCLNHT0IRNLI",20000,0)</f>
        <v>0</v>
      </c>
      <c r="M138">
        <f>IF(ISERROR(MATCH('DL 1'!A139,#REF!,0)),0,J138*2)</f>
        <v>0</v>
      </c>
      <c r="N138" t="e">
        <f>#REF!</f>
        <v>#REF!</v>
      </c>
      <c r="O138">
        <f>_xlfn.IFNA(VLOOKUP(RIGHT(VLOOKUP(TRIM('DL 1'!G139),Data!$A:$B,2,0),1),Data!$L$23:$M$30,2,0),0)</f>
        <v>0</v>
      </c>
      <c r="P138">
        <f t="shared" si="30"/>
        <v>0</v>
      </c>
      <c r="Q138" s="7" t="b">
        <f t="shared" si="21"/>
        <v>0</v>
      </c>
      <c r="R138" s="27">
        <f>INCENTIVE!$E$8</f>
        <v>130000000</v>
      </c>
      <c r="S138">
        <f>'DL 1'!D139</f>
        <v>0</v>
      </c>
      <c r="T138" t="str">
        <f t="shared" si="22"/>
        <v>1</v>
      </c>
      <c r="V138" t="str">
        <f t="shared" si="23"/>
        <v>1</v>
      </c>
      <c r="W138">
        <f t="shared" si="24"/>
        <v>0.25</v>
      </c>
      <c r="X138" s="7">
        <f>'DL 1'!E139</f>
        <v>0</v>
      </c>
      <c r="Y138" s="69">
        <f>'DL 1'!G139</f>
        <v>0</v>
      </c>
      <c r="AC138" t="str">
        <f>IFERROR(VLOOKUP(Y138,Data!$G$65:$K$79,2,0) *X138,"")</f>
        <v/>
      </c>
      <c r="AD138" s="7">
        <f t="shared" si="25"/>
        <v>0</v>
      </c>
      <c r="AE138">
        <f>'DL 1'!F139</f>
        <v>0</v>
      </c>
      <c r="AF138" t="str">
        <f>IFERROR(VLOOKUP(Y138,Data!$G$65:$K$79,4,0),"")</f>
        <v/>
      </c>
      <c r="AG138" s="51" t="e">
        <f>#REF!</f>
        <v>#REF!</v>
      </c>
      <c r="AK138">
        <f t="shared" si="26"/>
        <v>0</v>
      </c>
      <c r="AL138">
        <f t="shared" si="27"/>
        <v>0</v>
      </c>
      <c r="AM138" s="70">
        <f t="shared" si="28"/>
        <v>0</v>
      </c>
      <c r="AN138" s="7" t="b">
        <f t="shared" si="29"/>
        <v>0</v>
      </c>
    </row>
    <row r="139" spans="1:40" x14ac:dyDescent="0.3">
      <c r="A139" s="50">
        <f>IF(D139="A",_xlfn.IFNA(INDEX(Data!$H$24:$J$28,MATCH('DL 1'!E140,Data!$G$24:$G$28,1),MATCH('DL 1'!D140,Data!$H$23:$J$23,1)),0),0)</f>
        <v>0</v>
      </c>
      <c r="B139">
        <f>IF('DL 1'!F140="Y",Q139,0)</f>
        <v>0</v>
      </c>
      <c r="C139" t="e">
        <f>_xlfn.IFNA(INDEX(Data!$H$24:$J$28,MATCH(#REF!,Data!$G$24:$G$28,1),MATCH(#REF!,Data!$H$23:$J$23,1)),0)</f>
        <v>#REF!</v>
      </c>
      <c r="D139" t="str">
        <f>RIGHT(TRIM('DL 1'!G140),1)</f>
        <v/>
      </c>
      <c r="E139" s="8">
        <f>'DL 1'!E140*'DL 1'!D140</f>
        <v>0</v>
      </c>
      <c r="F139" t="str">
        <f>_xlfn.IFNA(VLOOKUP(TRIM('DL 1'!G140),Data!$A:$C,3,0),"")</f>
        <v/>
      </c>
      <c r="G139" s="7">
        <f>'DL 1'!E140</f>
        <v>0</v>
      </c>
      <c r="H139" s="21">
        <f>_xlfn.IFNA(VLOOKUP(TRIM('DL 1'!G140),Data!$A:$D,4,0),0)</f>
        <v>0</v>
      </c>
      <c r="I139">
        <f>_xlfn.IFNA(INDEX(Data!$G$5:$K$10,MATCH('DL 1'!D140,Data!$F$5:$F$10,1),MATCH(_xlfn.SINGLE(#REF!),Data!$G$4:$K$4,1)),0)</f>
        <v>0</v>
      </c>
      <c r="J139">
        <f>_xlfn.IFNA(IF(VLOOKUP(TRIM('DL 1'!G140),Data!$A:$C,3,0)="ST1",H139*I139*G139,IF(VLOOKUP(TRIM('DL 1'!G140),Data!$A:$C,3,0)="IR0",H139*G139,MIN(H139:I139)*G139)),0)</f>
        <v>0</v>
      </c>
      <c r="K139" t="e">
        <f>_xlfn.IFNA(VLOOKUP(TRIM(#REF!),Data!$A:$D,4,0)*#REF!,0)</f>
        <v>#REF!</v>
      </c>
      <c r="L139">
        <f>IF(TRIM('DL 1'!G140)="EDCLNHT0IRNLI",20000,0)</f>
        <v>0</v>
      </c>
      <c r="M139">
        <f>IF(ISERROR(MATCH('DL 1'!A140,#REF!,0)),0,J139*2)</f>
        <v>0</v>
      </c>
      <c r="N139" t="e">
        <f>#REF!</f>
        <v>#REF!</v>
      </c>
      <c r="O139">
        <f>_xlfn.IFNA(VLOOKUP(RIGHT(VLOOKUP(TRIM('DL 1'!G140),Data!$A:$B,2,0),1),Data!$L$23:$M$30,2,0),0)</f>
        <v>0</v>
      </c>
      <c r="P139">
        <f t="shared" si="30"/>
        <v>0</v>
      </c>
      <c r="Q139" s="7" t="b">
        <f t="shared" si="21"/>
        <v>0</v>
      </c>
      <c r="R139" s="27">
        <f>INCENTIVE!$E$8</f>
        <v>130000000</v>
      </c>
      <c r="S139">
        <f>'DL 1'!D140</f>
        <v>0</v>
      </c>
      <c r="T139" t="str">
        <f t="shared" si="22"/>
        <v>1</v>
      </c>
      <c r="V139" t="str">
        <f t="shared" si="23"/>
        <v>1</v>
      </c>
      <c r="W139">
        <f t="shared" si="24"/>
        <v>0.25</v>
      </c>
      <c r="X139" s="7">
        <f>'DL 1'!E140</f>
        <v>0</v>
      </c>
      <c r="Y139" s="69">
        <f>'DL 1'!G140</f>
        <v>0</v>
      </c>
      <c r="AC139" t="str">
        <f>IFERROR(VLOOKUP(Y139,Data!$G$65:$K$79,2,0) *X139,"")</f>
        <v/>
      </c>
      <c r="AD139" s="7">
        <f t="shared" si="25"/>
        <v>0</v>
      </c>
      <c r="AE139">
        <f>'DL 1'!F140</f>
        <v>0</v>
      </c>
      <c r="AF139" t="str">
        <f>IFERROR(VLOOKUP(Y139,Data!$G$65:$K$79,4,0),"")</f>
        <v/>
      </c>
      <c r="AG139" s="51" t="e">
        <f>#REF!</f>
        <v>#REF!</v>
      </c>
      <c r="AK139">
        <f t="shared" si="26"/>
        <v>0</v>
      </c>
      <c r="AL139">
        <f t="shared" si="27"/>
        <v>0</v>
      </c>
      <c r="AM139" s="70">
        <f t="shared" si="28"/>
        <v>0</v>
      </c>
      <c r="AN139" s="7" t="b">
        <f t="shared" si="29"/>
        <v>0</v>
      </c>
    </row>
    <row r="140" spans="1:40" x14ac:dyDescent="0.3">
      <c r="A140" s="50">
        <f>IF(D140="A",_xlfn.IFNA(INDEX(Data!$H$24:$J$28,MATCH('DL 1'!E141,Data!$G$24:$G$28,1),MATCH('DL 1'!D141,Data!$H$23:$J$23,1)),0),0)</f>
        <v>0</v>
      </c>
      <c r="B140">
        <f>IF('DL 1'!F141="Y",Q140,0)</f>
        <v>0</v>
      </c>
      <c r="C140" t="e">
        <f>_xlfn.IFNA(INDEX(Data!$H$24:$J$28,MATCH(#REF!,Data!$G$24:$G$28,1),MATCH(#REF!,Data!$H$23:$J$23,1)),0)</f>
        <v>#REF!</v>
      </c>
      <c r="D140" t="str">
        <f>RIGHT(TRIM('DL 1'!G141),1)</f>
        <v/>
      </c>
      <c r="E140" s="8">
        <f>'DL 1'!E141*'DL 1'!D141</f>
        <v>0</v>
      </c>
      <c r="F140" t="str">
        <f>_xlfn.IFNA(VLOOKUP(TRIM('DL 1'!G141),Data!$A:$C,3,0),"")</f>
        <v/>
      </c>
      <c r="G140" s="7">
        <f>'DL 1'!E141</f>
        <v>0</v>
      </c>
      <c r="H140" s="21">
        <f>_xlfn.IFNA(VLOOKUP(TRIM('DL 1'!G141),Data!$A:$D,4,0),0)</f>
        <v>0</v>
      </c>
      <c r="I140">
        <f>_xlfn.IFNA(INDEX(Data!$G$5:$K$10,MATCH('DL 1'!D141,Data!$F$5:$F$10,1),MATCH(_xlfn.SINGLE(#REF!),Data!$G$4:$K$4,1)),0)</f>
        <v>0</v>
      </c>
      <c r="J140">
        <f>_xlfn.IFNA(IF(VLOOKUP(TRIM('DL 1'!G141),Data!$A:$C,3,0)="ST1",H140*I140*G140,IF(VLOOKUP(TRIM('DL 1'!G141),Data!$A:$C,3,0)="IR0",H140*G140,MIN(H140:I140)*G140)),0)</f>
        <v>0</v>
      </c>
      <c r="K140" t="e">
        <f>_xlfn.IFNA(VLOOKUP(TRIM(#REF!),Data!$A:$D,4,0)*#REF!,0)</f>
        <v>#REF!</v>
      </c>
      <c r="L140">
        <f>IF(TRIM('DL 1'!G141)="EDCLNHT0IRNLI",20000,0)</f>
        <v>0</v>
      </c>
      <c r="M140">
        <f>IF(ISERROR(MATCH('DL 1'!A141,#REF!,0)),0,J140*2)</f>
        <v>0</v>
      </c>
      <c r="N140" t="e">
        <f>#REF!</f>
        <v>#REF!</v>
      </c>
      <c r="O140">
        <f>_xlfn.IFNA(VLOOKUP(RIGHT(VLOOKUP(TRIM('DL 1'!G141),Data!$A:$B,2,0),1),Data!$L$23:$M$30,2,0),0)</f>
        <v>0</v>
      </c>
      <c r="P140">
        <f t="shared" si="30"/>
        <v>0</v>
      </c>
      <c r="Q140" s="7" t="b">
        <f t="shared" si="21"/>
        <v>0</v>
      </c>
      <c r="R140" s="27">
        <f>INCENTIVE!$E$8</f>
        <v>130000000</v>
      </c>
      <c r="S140">
        <f>'DL 1'!D141</f>
        <v>0</v>
      </c>
      <c r="T140" t="str">
        <f t="shared" si="22"/>
        <v>1</v>
      </c>
      <c r="V140" t="str">
        <f t="shared" si="23"/>
        <v>1</v>
      </c>
      <c r="W140">
        <f t="shared" si="24"/>
        <v>0.25</v>
      </c>
      <c r="X140" s="7">
        <f>'DL 1'!E141</f>
        <v>0</v>
      </c>
      <c r="Y140" s="69">
        <f>'DL 1'!G141</f>
        <v>0</v>
      </c>
      <c r="AC140" t="str">
        <f>IFERROR(VLOOKUP(Y140,Data!$G$65:$K$79,2,0) *X140,"")</f>
        <v/>
      </c>
      <c r="AD140" s="7">
        <f t="shared" si="25"/>
        <v>0</v>
      </c>
      <c r="AE140">
        <f>'DL 1'!F141</f>
        <v>0</v>
      </c>
      <c r="AF140" t="str">
        <f>IFERROR(VLOOKUP(Y140,Data!$G$65:$K$79,4,0),"")</f>
        <v/>
      </c>
      <c r="AG140" s="51" t="e">
        <f>#REF!</f>
        <v>#REF!</v>
      </c>
      <c r="AK140">
        <f t="shared" si="26"/>
        <v>0</v>
      </c>
      <c r="AL140">
        <f t="shared" si="27"/>
        <v>0</v>
      </c>
      <c r="AM140" s="70">
        <f t="shared" si="28"/>
        <v>0</v>
      </c>
      <c r="AN140" s="7" t="b">
        <f t="shared" si="29"/>
        <v>0</v>
      </c>
    </row>
    <row r="141" spans="1:40" x14ac:dyDescent="0.3">
      <c r="A141" s="50">
        <f>IF(D141="A",_xlfn.IFNA(INDEX(Data!$H$24:$J$28,MATCH('DL 1'!E142,Data!$G$24:$G$28,1),MATCH('DL 1'!D142,Data!$H$23:$J$23,1)),0),0)</f>
        <v>0</v>
      </c>
      <c r="B141">
        <f>IF('DL 1'!F142="Y",Q141,0)</f>
        <v>0</v>
      </c>
      <c r="C141" t="e">
        <f>_xlfn.IFNA(INDEX(Data!$H$24:$J$28,MATCH(#REF!,Data!$G$24:$G$28,1),MATCH(#REF!,Data!$H$23:$J$23,1)),0)</f>
        <v>#REF!</v>
      </c>
      <c r="D141" t="str">
        <f>RIGHT(TRIM('DL 1'!G142),1)</f>
        <v/>
      </c>
      <c r="E141" s="8">
        <f>'DL 1'!E142*'DL 1'!D142</f>
        <v>0</v>
      </c>
      <c r="F141" t="str">
        <f>_xlfn.IFNA(VLOOKUP(TRIM('DL 1'!G142),Data!$A:$C,3,0),"")</f>
        <v/>
      </c>
      <c r="G141" s="7">
        <f>'DL 1'!E142</f>
        <v>0</v>
      </c>
      <c r="H141" s="21">
        <f>_xlfn.IFNA(VLOOKUP(TRIM('DL 1'!G142),Data!$A:$D,4,0),0)</f>
        <v>0</v>
      </c>
      <c r="I141">
        <f>_xlfn.IFNA(INDEX(Data!$G$5:$K$10,MATCH('DL 1'!D142,Data!$F$5:$F$10,1),MATCH(_xlfn.SINGLE(#REF!),Data!$G$4:$K$4,1)),0)</f>
        <v>0</v>
      </c>
      <c r="J141">
        <f>_xlfn.IFNA(IF(VLOOKUP(TRIM('DL 1'!G142),Data!$A:$C,3,0)="ST1",H141*I141*G141,IF(VLOOKUP(TRIM('DL 1'!G142),Data!$A:$C,3,0)="IR0",H141*G141,MIN(H141:I141)*G141)),0)</f>
        <v>0</v>
      </c>
      <c r="K141" t="e">
        <f>_xlfn.IFNA(VLOOKUP(TRIM(#REF!),Data!$A:$D,4,0)*#REF!,0)</f>
        <v>#REF!</v>
      </c>
      <c r="L141">
        <f>IF(TRIM('DL 1'!G142)="EDCLNHT0IRNLI",20000,0)</f>
        <v>0</v>
      </c>
      <c r="M141">
        <f>IF(ISERROR(MATCH('DL 1'!A142,#REF!,0)),0,J141*2)</f>
        <v>0</v>
      </c>
      <c r="N141" t="e">
        <f>#REF!</f>
        <v>#REF!</v>
      </c>
      <c r="O141">
        <f>_xlfn.IFNA(VLOOKUP(RIGHT(VLOOKUP(TRIM('DL 1'!G142),Data!$A:$B,2,0),1),Data!$L$23:$M$30,2,0),0)</f>
        <v>0</v>
      </c>
      <c r="P141">
        <f t="shared" si="30"/>
        <v>0</v>
      </c>
      <c r="Q141" s="7" t="b">
        <f t="shared" si="21"/>
        <v>0</v>
      </c>
      <c r="R141" s="27">
        <f>INCENTIVE!$E$8</f>
        <v>130000000</v>
      </c>
      <c r="S141">
        <f>'DL 1'!D142</f>
        <v>0</v>
      </c>
      <c r="T141" t="str">
        <f t="shared" si="22"/>
        <v>1</v>
      </c>
      <c r="V141" t="str">
        <f t="shared" si="23"/>
        <v>1</v>
      </c>
      <c r="W141">
        <f t="shared" si="24"/>
        <v>0.25</v>
      </c>
      <c r="X141" s="7">
        <f>'DL 1'!E142</f>
        <v>0</v>
      </c>
      <c r="Y141" s="69">
        <f>'DL 1'!G142</f>
        <v>0</v>
      </c>
      <c r="AC141" t="str">
        <f>IFERROR(VLOOKUP(Y141,Data!$G$65:$K$79,2,0) *X141,"")</f>
        <v/>
      </c>
      <c r="AD141" s="7">
        <f t="shared" si="25"/>
        <v>0</v>
      </c>
      <c r="AE141">
        <f>'DL 1'!F142</f>
        <v>0</v>
      </c>
      <c r="AF141" t="str">
        <f>IFERROR(VLOOKUP(Y141,Data!$G$65:$K$79,4,0),"")</f>
        <v/>
      </c>
      <c r="AG141" s="51" t="e">
        <f>#REF!</f>
        <v>#REF!</v>
      </c>
      <c r="AK141">
        <f t="shared" si="26"/>
        <v>0</v>
      </c>
      <c r="AL141">
        <f t="shared" si="27"/>
        <v>0</v>
      </c>
      <c r="AM141" s="70">
        <f t="shared" si="28"/>
        <v>0</v>
      </c>
      <c r="AN141" s="7" t="b">
        <f t="shared" si="29"/>
        <v>0</v>
      </c>
    </row>
    <row r="142" spans="1:40" x14ac:dyDescent="0.3">
      <c r="A142" s="50">
        <f>IF(D142="A",_xlfn.IFNA(INDEX(Data!$H$24:$J$28,MATCH('DL 1'!E143,Data!$G$24:$G$28,1),MATCH('DL 1'!D143,Data!$H$23:$J$23,1)),0),0)</f>
        <v>0</v>
      </c>
      <c r="B142">
        <f>IF('DL 1'!F143="Y",Q142,0)</f>
        <v>0</v>
      </c>
      <c r="C142" t="e">
        <f>_xlfn.IFNA(INDEX(Data!$H$24:$J$28,MATCH(#REF!,Data!$G$24:$G$28,1),MATCH(#REF!,Data!$H$23:$J$23,1)),0)</f>
        <v>#REF!</v>
      </c>
      <c r="D142" t="str">
        <f>RIGHT(TRIM('DL 1'!G143),1)</f>
        <v/>
      </c>
      <c r="E142" s="8">
        <f>'DL 1'!E143*'DL 1'!D143</f>
        <v>0</v>
      </c>
      <c r="F142" t="str">
        <f>_xlfn.IFNA(VLOOKUP(TRIM('DL 1'!G143),Data!$A:$C,3,0),"")</f>
        <v/>
      </c>
      <c r="G142" s="7">
        <f>'DL 1'!E143</f>
        <v>0</v>
      </c>
      <c r="H142" s="21">
        <f>_xlfn.IFNA(VLOOKUP(TRIM('DL 1'!G143),Data!$A:$D,4,0),0)</f>
        <v>0</v>
      </c>
      <c r="I142">
        <f>_xlfn.IFNA(INDEX(Data!$G$5:$K$10,MATCH('DL 1'!D143,Data!$F$5:$F$10,1),MATCH(_xlfn.SINGLE(#REF!),Data!$G$4:$K$4,1)),0)</f>
        <v>0</v>
      </c>
      <c r="J142">
        <f>_xlfn.IFNA(IF(VLOOKUP(TRIM('DL 1'!G143),Data!$A:$C,3,0)="ST1",H142*I142*G142,IF(VLOOKUP(TRIM('DL 1'!G143),Data!$A:$C,3,0)="IR0",H142*G142,MIN(H142:I142)*G142)),0)</f>
        <v>0</v>
      </c>
      <c r="K142" t="e">
        <f>_xlfn.IFNA(VLOOKUP(TRIM(#REF!),Data!$A:$D,4,0)*#REF!,0)</f>
        <v>#REF!</v>
      </c>
      <c r="L142">
        <f>IF(TRIM('DL 1'!G143)="EDCLNHT0IRNLI",20000,0)</f>
        <v>0</v>
      </c>
      <c r="M142">
        <f>IF(ISERROR(MATCH('DL 1'!A143,#REF!,0)),0,J142*2)</f>
        <v>0</v>
      </c>
      <c r="N142" t="e">
        <f>#REF!</f>
        <v>#REF!</v>
      </c>
      <c r="O142">
        <f>_xlfn.IFNA(VLOOKUP(RIGHT(VLOOKUP(TRIM('DL 1'!G143),Data!$A:$B,2,0),1),Data!$L$23:$M$30,2,0),0)</f>
        <v>0</v>
      </c>
      <c r="P142">
        <f t="shared" si="30"/>
        <v>0</v>
      </c>
      <c r="Q142" s="7" t="b">
        <f t="shared" si="21"/>
        <v>0</v>
      </c>
      <c r="R142" s="27">
        <f>INCENTIVE!$E$8</f>
        <v>130000000</v>
      </c>
      <c r="S142">
        <f>'DL 1'!D143</f>
        <v>0</v>
      </c>
      <c r="T142" t="str">
        <f t="shared" si="22"/>
        <v>1</v>
      </c>
      <c r="V142" t="str">
        <f t="shared" si="23"/>
        <v>1</v>
      </c>
      <c r="W142">
        <f t="shared" si="24"/>
        <v>0.25</v>
      </c>
      <c r="X142" s="7">
        <f>'DL 1'!E143</f>
        <v>0</v>
      </c>
      <c r="Y142" s="69">
        <f>'DL 1'!G143</f>
        <v>0</v>
      </c>
      <c r="AC142" t="str">
        <f>IFERROR(VLOOKUP(Y142,Data!$G$65:$K$79,2,0) *X142,"")</f>
        <v/>
      </c>
      <c r="AD142" s="7">
        <f t="shared" si="25"/>
        <v>0</v>
      </c>
      <c r="AE142">
        <f>'DL 1'!F143</f>
        <v>0</v>
      </c>
      <c r="AF142" t="str">
        <f>IFERROR(VLOOKUP(Y142,Data!$G$65:$K$79,4,0),"")</f>
        <v/>
      </c>
      <c r="AG142" s="51" t="e">
        <f>#REF!</f>
        <v>#REF!</v>
      </c>
      <c r="AK142">
        <f t="shared" si="26"/>
        <v>0</v>
      </c>
      <c r="AL142">
        <f t="shared" si="27"/>
        <v>0</v>
      </c>
      <c r="AM142" s="70">
        <f t="shared" si="28"/>
        <v>0</v>
      </c>
      <c r="AN142" s="7" t="b">
        <f t="shared" si="29"/>
        <v>0</v>
      </c>
    </row>
    <row r="143" spans="1:40" x14ac:dyDescent="0.3">
      <c r="A143" s="50">
        <f>IF(D143="A",_xlfn.IFNA(INDEX(Data!$H$24:$J$28,MATCH('DL 1'!E144,Data!$G$24:$G$28,1),MATCH('DL 1'!D144,Data!$H$23:$J$23,1)),0),0)</f>
        <v>0</v>
      </c>
      <c r="B143">
        <f>IF('DL 1'!F144="Y",Q143,0)</f>
        <v>0</v>
      </c>
      <c r="C143" t="e">
        <f>_xlfn.IFNA(INDEX(Data!$H$24:$J$28,MATCH(#REF!,Data!$G$24:$G$28,1),MATCH(#REF!,Data!$H$23:$J$23,1)),0)</f>
        <v>#REF!</v>
      </c>
      <c r="D143" t="str">
        <f>RIGHT(TRIM('DL 1'!G144),1)</f>
        <v/>
      </c>
      <c r="E143" s="8">
        <f>'DL 1'!E144*'DL 1'!D144</f>
        <v>0</v>
      </c>
      <c r="F143" t="str">
        <f>_xlfn.IFNA(VLOOKUP(TRIM('DL 1'!G144),Data!$A:$C,3,0),"")</f>
        <v/>
      </c>
      <c r="G143" s="7">
        <f>'DL 1'!E144</f>
        <v>0</v>
      </c>
      <c r="H143" s="21">
        <f>_xlfn.IFNA(VLOOKUP(TRIM('DL 1'!G144),Data!$A:$D,4,0),0)</f>
        <v>0</v>
      </c>
      <c r="I143">
        <f>_xlfn.IFNA(INDEX(Data!$G$5:$K$10,MATCH('DL 1'!D144,Data!$F$5:$F$10,1),MATCH(_xlfn.SINGLE(#REF!),Data!$G$4:$K$4,1)),0)</f>
        <v>0</v>
      </c>
      <c r="J143">
        <f>_xlfn.IFNA(IF(VLOOKUP(TRIM('DL 1'!G144),Data!$A:$C,3,0)="ST1",H143*I143*G143,IF(VLOOKUP(TRIM('DL 1'!G144),Data!$A:$C,3,0)="IR0",H143*G143,MIN(H143:I143)*G143)),0)</f>
        <v>0</v>
      </c>
      <c r="K143" t="e">
        <f>_xlfn.IFNA(VLOOKUP(TRIM(#REF!),Data!$A:$D,4,0)*#REF!,0)</f>
        <v>#REF!</v>
      </c>
      <c r="L143">
        <f>IF(TRIM('DL 1'!G144)="EDCLNHT0IRNLI",20000,0)</f>
        <v>0</v>
      </c>
      <c r="M143">
        <f>IF(ISERROR(MATCH('DL 1'!A144,#REF!,0)),0,J143*2)</f>
        <v>0</v>
      </c>
      <c r="N143" t="e">
        <f>#REF!</f>
        <v>#REF!</v>
      </c>
      <c r="O143">
        <f>_xlfn.IFNA(VLOOKUP(RIGHT(VLOOKUP(TRIM('DL 1'!G144),Data!$A:$B,2,0),1),Data!$L$23:$M$30,2,0),0)</f>
        <v>0</v>
      </c>
      <c r="P143">
        <f t="shared" si="30"/>
        <v>0</v>
      </c>
      <c r="Q143" s="7" t="b">
        <f t="shared" si="21"/>
        <v>0</v>
      </c>
      <c r="R143" s="27">
        <f>INCENTIVE!$E$8</f>
        <v>130000000</v>
      </c>
      <c r="S143">
        <f>'DL 1'!D144</f>
        <v>0</v>
      </c>
      <c r="T143" t="str">
        <f t="shared" si="22"/>
        <v>1</v>
      </c>
      <c r="V143" t="str">
        <f t="shared" si="23"/>
        <v>1</v>
      </c>
      <c r="W143">
        <f t="shared" si="24"/>
        <v>0.25</v>
      </c>
      <c r="X143" s="7">
        <f>'DL 1'!E144</f>
        <v>0</v>
      </c>
      <c r="Y143" s="69">
        <f>'DL 1'!G144</f>
        <v>0</v>
      </c>
      <c r="AC143" t="str">
        <f>IFERROR(VLOOKUP(Y143,Data!$G$65:$K$79,2,0) *X143,"")</f>
        <v/>
      </c>
      <c r="AD143" s="7">
        <f t="shared" si="25"/>
        <v>0</v>
      </c>
      <c r="AE143">
        <f>'DL 1'!F144</f>
        <v>0</v>
      </c>
      <c r="AF143" t="str">
        <f>IFERROR(VLOOKUP(Y143,Data!$G$65:$K$79,4,0),"")</f>
        <v/>
      </c>
      <c r="AG143" s="51" t="e">
        <f>#REF!</f>
        <v>#REF!</v>
      </c>
      <c r="AK143">
        <f t="shared" si="26"/>
        <v>0</v>
      </c>
      <c r="AL143">
        <f t="shared" si="27"/>
        <v>0</v>
      </c>
      <c r="AM143" s="70">
        <f t="shared" si="28"/>
        <v>0</v>
      </c>
      <c r="AN143" s="7" t="b">
        <f t="shared" si="29"/>
        <v>0</v>
      </c>
    </row>
    <row r="144" spans="1:40" x14ac:dyDescent="0.3">
      <c r="A144" s="50">
        <f>IF(D144="A",_xlfn.IFNA(INDEX(Data!$H$24:$J$28,MATCH('DL 1'!E145,Data!$G$24:$G$28,1),MATCH('DL 1'!D145,Data!$H$23:$J$23,1)),0),0)</f>
        <v>0</v>
      </c>
      <c r="B144">
        <f>IF('DL 1'!F145="Y",Q144,0)</f>
        <v>0</v>
      </c>
      <c r="C144" t="e">
        <f>_xlfn.IFNA(INDEX(Data!$H$24:$J$28,MATCH(#REF!,Data!$G$24:$G$28,1),MATCH(#REF!,Data!$H$23:$J$23,1)),0)</f>
        <v>#REF!</v>
      </c>
      <c r="D144" t="str">
        <f>RIGHT(TRIM('DL 1'!G145),1)</f>
        <v/>
      </c>
      <c r="E144" s="8">
        <f>'DL 1'!E145*'DL 1'!D145</f>
        <v>0</v>
      </c>
      <c r="F144" t="str">
        <f>_xlfn.IFNA(VLOOKUP(TRIM('DL 1'!G145),Data!$A:$C,3,0),"")</f>
        <v/>
      </c>
      <c r="G144" s="7">
        <f>'DL 1'!E145</f>
        <v>0</v>
      </c>
      <c r="H144" s="21">
        <f>_xlfn.IFNA(VLOOKUP(TRIM('DL 1'!G145),Data!$A:$D,4,0),0)</f>
        <v>0</v>
      </c>
      <c r="I144">
        <f>_xlfn.IFNA(INDEX(Data!$G$5:$K$10,MATCH('DL 1'!D145,Data!$F$5:$F$10,1),MATCH(_xlfn.SINGLE(#REF!),Data!$G$4:$K$4,1)),0)</f>
        <v>0</v>
      </c>
      <c r="J144">
        <f>_xlfn.IFNA(IF(VLOOKUP(TRIM('DL 1'!G145),Data!$A:$C,3,0)="ST1",H144*I144*G144,IF(VLOOKUP(TRIM('DL 1'!G145),Data!$A:$C,3,0)="IR0",H144*G144,MIN(H144:I144)*G144)),0)</f>
        <v>0</v>
      </c>
      <c r="K144" t="e">
        <f>_xlfn.IFNA(VLOOKUP(TRIM(#REF!),Data!$A:$D,4,0)*#REF!,0)</f>
        <v>#REF!</v>
      </c>
      <c r="L144">
        <f>IF(TRIM('DL 1'!G145)="EDCLNHT0IRNLI",20000,0)</f>
        <v>0</v>
      </c>
      <c r="M144">
        <f>IF(ISERROR(MATCH('DL 1'!A145,#REF!,0)),0,J144*2)</f>
        <v>0</v>
      </c>
      <c r="N144" t="e">
        <f>#REF!</f>
        <v>#REF!</v>
      </c>
      <c r="O144">
        <f>_xlfn.IFNA(VLOOKUP(RIGHT(VLOOKUP(TRIM('DL 1'!G145),Data!$A:$B,2,0),1),Data!$L$23:$M$30,2,0),0)</f>
        <v>0</v>
      </c>
      <c r="P144">
        <f t="shared" si="30"/>
        <v>0</v>
      </c>
      <c r="Q144" s="7" t="b">
        <f t="shared" si="21"/>
        <v>0</v>
      </c>
      <c r="R144" s="27">
        <f>INCENTIVE!$E$8</f>
        <v>130000000</v>
      </c>
      <c r="S144">
        <f>'DL 1'!D145</f>
        <v>0</v>
      </c>
      <c r="T144" t="str">
        <f t="shared" si="22"/>
        <v>1</v>
      </c>
      <c r="V144" t="str">
        <f t="shared" si="23"/>
        <v>1</v>
      </c>
      <c r="W144">
        <f t="shared" si="24"/>
        <v>0.25</v>
      </c>
      <c r="X144" s="7">
        <f>'DL 1'!E145</f>
        <v>0</v>
      </c>
      <c r="Y144" s="69">
        <f>'DL 1'!G145</f>
        <v>0</v>
      </c>
      <c r="AC144" t="str">
        <f>IFERROR(VLOOKUP(Y144,Data!$G$65:$K$79,2,0) *X144,"")</f>
        <v/>
      </c>
      <c r="AD144" s="7">
        <f t="shared" si="25"/>
        <v>0</v>
      </c>
      <c r="AE144">
        <f>'DL 1'!F145</f>
        <v>0</v>
      </c>
      <c r="AF144" t="str">
        <f>IFERROR(VLOOKUP(Y144,Data!$G$65:$K$79,4,0),"")</f>
        <v/>
      </c>
      <c r="AG144" s="51" t="e">
        <f>#REF!</f>
        <v>#REF!</v>
      </c>
      <c r="AK144">
        <f t="shared" si="26"/>
        <v>0</v>
      </c>
      <c r="AL144">
        <f t="shared" si="27"/>
        <v>0</v>
      </c>
      <c r="AM144" s="70">
        <f t="shared" si="28"/>
        <v>0</v>
      </c>
      <c r="AN144" s="7" t="b">
        <f t="shared" si="29"/>
        <v>0</v>
      </c>
    </row>
    <row r="145" spans="1:40" x14ac:dyDescent="0.3">
      <c r="A145" s="50">
        <f>IF(D145="A",_xlfn.IFNA(INDEX(Data!$H$24:$J$28,MATCH('DL 1'!E146,Data!$G$24:$G$28,1),MATCH('DL 1'!D146,Data!$H$23:$J$23,1)),0),0)</f>
        <v>0</v>
      </c>
      <c r="B145">
        <f>IF('DL 1'!F146="Y",Q145,0)</f>
        <v>0</v>
      </c>
      <c r="C145" t="e">
        <f>_xlfn.IFNA(INDEX(Data!$H$24:$J$28,MATCH(#REF!,Data!$G$24:$G$28,1),MATCH(#REF!,Data!$H$23:$J$23,1)),0)</f>
        <v>#REF!</v>
      </c>
      <c r="D145" t="str">
        <f>RIGHT(TRIM('DL 1'!G146),1)</f>
        <v/>
      </c>
      <c r="E145" s="8">
        <f>'DL 1'!E146*'DL 1'!D146</f>
        <v>0</v>
      </c>
      <c r="F145" t="str">
        <f>_xlfn.IFNA(VLOOKUP(TRIM('DL 1'!G146),Data!$A:$C,3,0),"")</f>
        <v/>
      </c>
      <c r="G145" s="7">
        <f>'DL 1'!E146</f>
        <v>0</v>
      </c>
      <c r="H145" s="21">
        <f>_xlfn.IFNA(VLOOKUP(TRIM('DL 1'!G146),Data!$A:$D,4,0),0)</f>
        <v>0</v>
      </c>
      <c r="I145">
        <f>_xlfn.IFNA(INDEX(Data!$G$5:$K$10,MATCH('DL 1'!D146,Data!$F$5:$F$10,1),MATCH(_xlfn.SINGLE(#REF!),Data!$G$4:$K$4,1)),0)</f>
        <v>0</v>
      </c>
      <c r="J145">
        <f>_xlfn.IFNA(IF(VLOOKUP(TRIM('DL 1'!G146),Data!$A:$C,3,0)="ST1",H145*I145*G145,IF(VLOOKUP(TRIM('DL 1'!G146),Data!$A:$C,3,0)="IR0",H145*G145,MIN(H145:I145)*G145)),0)</f>
        <v>0</v>
      </c>
      <c r="K145" t="e">
        <f>_xlfn.IFNA(VLOOKUP(TRIM(#REF!),Data!$A:$D,4,0)*#REF!,0)</f>
        <v>#REF!</v>
      </c>
      <c r="L145">
        <f>IF(TRIM('DL 1'!G146)="EDCLNHT0IRNLI",20000,0)</f>
        <v>0</v>
      </c>
      <c r="M145">
        <f>IF(ISERROR(MATCH('DL 1'!A146,#REF!,0)),0,J145*2)</f>
        <v>0</v>
      </c>
      <c r="N145" t="e">
        <f>#REF!</f>
        <v>#REF!</v>
      </c>
      <c r="O145">
        <f>_xlfn.IFNA(VLOOKUP(RIGHT(VLOOKUP(TRIM('DL 1'!G146),Data!$A:$B,2,0),1),Data!$L$23:$M$30,2,0),0)</f>
        <v>0</v>
      </c>
      <c r="P145">
        <f t="shared" si="30"/>
        <v>0</v>
      </c>
      <c r="Q145" s="7" t="b">
        <f t="shared" si="21"/>
        <v>0</v>
      </c>
      <c r="R145" s="27">
        <f>INCENTIVE!$E$8</f>
        <v>130000000</v>
      </c>
      <c r="S145">
        <f>'DL 1'!D146</f>
        <v>0</v>
      </c>
      <c r="T145" t="str">
        <f t="shared" si="22"/>
        <v>1</v>
      </c>
      <c r="V145" t="str">
        <f t="shared" si="23"/>
        <v>1</v>
      </c>
      <c r="W145">
        <f t="shared" si="24"/>
        <v>0.25</v>
      </c>
      <c r="X145" s="7">
        <f>'DL 1'!E146</f>
        <v>0</v>
      </c>
      <c r="Y145" s="69">
        <f>'DL 1'!G146</f>
        <v>0</v>
      </c>
      <c r="AC145" t="str">
        <f>IFERROR(VLOOKUP(Y145,Data!$G$65:$K$79,2,0) *X145,"")</f>
        <v/>
      </c>
      <c r="AD145" s="7">
        <f t="shared" si="25"/>
        <v>0</v>
      </c>
      <c r="AE145">
        <f>'DL 1'!F146</f>
        <v>0</v>
      </c>
      <c r="AF145" t="str">
        <f>IFERROR(VLOOKUP(Y145,Data!$G$65:$K$79,4,0),"")</f>
        <v/>
      </c>
      <c r="AG145" s="51" t="e">
        <f>#REF!</f>
        <v>#REF!</v>
      </c>
      <c r="AK145">
        <f t="shared" si="26"/>
        <v>0</v>
      </c>
      <c r="AL145">
        <f t="shared" si="27"/>
        <v>0</v>
      </c>
      <c r="AM145" s="70">
        <f t="shared" si="28"/>
        <v>0</v>
      </c>
      <c r="AN145" s="7" t="b">
        <f t="shared" si="29"/>
        <v>0</v>
      </c>
    </row>
    <row r="146" spans="1:40" x14ac:dyDescent="0.3">
      <c r="A146" s="50">
        <f>IF(D146="A",_xlfn.IFNA(INDEX(Data!$H$24:$J$28,MATCH('DL 1'!E147,Data!$G$24:$G$28,1),MATCH('DL 1'!D147,Data!$H$23:$J$23,1)),0),0)</f>
        <v>0</v>
      </c>
      <c r="B146">
        <f>IF('DL 1'!F147="Y",Q146,0)</f>
        <v>0</v>
      </c>
      <c r="C146" t="e">
        <f>_xlfn.IFNA(INDEX(Data!$H$24:$J$28,MATCH(#REF!,Data!$G$24:$G$28,1),MATCH(#REF!,Data!$H$23:$J$23,1)),0)</f>
        <v>#REF!</v>
      </c>
      <c r="D146" t="str">
        <f>RIGHT(TRIM('DL 1'!G147),1)</f>
        <v/>
      </c>
      <c r="E146" s="8">
        <f>'DL 1'!E147*'DL 1'!D147</f>
        <v>0</v>
      </c>
      <c r="F146" t="str">
        <f>_xlfn.IFNA(VLOOKUP(TRIM('DL 1'!G147),Data!$A:$C,3,0),"")</f>
        <v/>
      </c>
      <c r="G146" s="7">
        <f>'DL 1'!E147</f>
        <v>0</v>
      </c>
      <c r="H146" s="21">
        <f>_xlfn.IFNA(VLOOKUP(TRIM('DL 1'!G147),Data!$A:$D,4,0),0)</f>
        <v>0</v>
      </c>
      <c r="I146">
        <f>_xlfn.IFNA(INDEX(Data!$G$5:$K$10,MATCH('DL 1'!D147,Data!$F$5:$F$10,1),MATCH(_xlfn.SINGLE(#REF!),Data!$G$4:$K$4,1)),0)</f>
        <v>0</v>
      </c>
      <c r="J146">
        <f>_xlfn.IFNA(IF(VLOOKUP(TRIM('DL 1'!G147),Data!$A:$C,3,0)="ST1",H146*I146*G146,IF(VLOOKUP(TRIM('DL 1'!G147),Data!$A:$C,3,0)="IR0",H146*G146,MIN(H146:I146)*G146)),0)</f>
        <v>0</v>
      </c>
      <c r="K146" t="e">
        <f>_xlfn.IFNA(VLOOKUP(TRIM(#REF!),Data!$A:$D,4,0)*#REF!,0)</f>
        <v>#REF!</v>
      </c>
      <c r="L146">
        <f>IF(TRIM('DL 1'!G147)="EDCLNHT0IRNLI",20000,0)</f>
        <v>0</v>
      </c>
      <c r="M146">
        <f>IF(ISERROR(MATCH('DL 1'!A147,#REF!,0)),0,J146*2)</f>
        <v>0</v>
      </c>
      <c r="N146" t="e">
        <f>#REF!</f>
        <v>#REF!</v>
      </c>
      <c r="O146">
        <f>_xlfn.IFNA(VLOOKUP(RIGHT(VLOOKUP(TRIM('DL 1'!G147),Data!$A:$B,2,0),1),Data!$L$23:$M$30,2,0),0)</f>
        <v>0</v>
      </c>
      <c r="P146">
        <f t="shared" si="30"/>
        <v>0</v>
      </c>
      <c r="Q146" s="7" t="b">
        <f t="shared" si="21"/>
        <v>0</v>
      </c>
      <c r="R146" s="27">
        <f>INCENTIVE!$E$8</f>
        <v>130000000</v>
      </c>
      <c r="S146">
        <f>'DL 1'!D147</f>
        <v>0</v>
      </c>
      <c r="T146" t="str">
        <f t="shared" si="22"/>
        <v>1</v>
      </c>
      <c r="V146" t="str">
        <f t="shared" si="23"/>
        <v>1</v>
      </c>
      <c r="W146">
        <f t="shared" si="24"/>
        <v>0.25</v>
      </c>
      <c r="X146" s="7">
        <f>'DL 1'!E147</f>
        <v>0</v>
      </c>
      <c r="Y146" s="69">
        <f>'DL 1'!G147</f>
        <v>0</v>
      </c>
      <c r="AC146" t="str">
        <f>IFERROR(VLOOKUP(Y146,Data!$G$65:$K$79,2,0) *X146,"")</f>
        <v/>
      </c>
      <c r="AD146" s="7">
        <f t="shared" si="25"/>
        <v>0</v>
      </c>
      <c r="AE146">
        <f>'DL 1'!F147</f>
        <v>0</v>
      </c>
      <c r="AF146" t="str">
        <f>IFERROR(VLOOKUP(Y146,Data!$G$65:$K$79,4,0),"")</f>
        <v/>
      </c>
      <c r="AG146" s="51" t="e">
        <f>#REF!</f>
        <v>#REF!</v>
      </c>
      <c r="AK146">
        <f t="shared" si="26"/>
        <v>0</v>
      </c>
      <c r="AL146">
        <f t="shared" si="27"/>
        <v>0</v>
      </c>
      <c r="AM146" s="70">
        <f t="shared" si="28"/>
        <v>0</v>
      </c>
      <c r="AN146" s="7" t="b">
        <f t="shared" si="29"/>
        <v>0</v>
      </c>
    </row>
    <row r="147" spans="1:40" x14ac:dyDescent="0.3">
      <c r="A147" s="50">
        <f>IF(D147="A",_xlfn.IFNA(INDEX(Data!$H$24:$J$28,MATCH('DL 1'!E148,Data!$G$24:$G$28,1),MATCH('DL 1'!D148,Data!$H$23:$J$23,1)),0),0)</f>
        <v>0</v>
      </c>
      <c r="B147">
        <f>IF('DL 1'!F148="Y",Q147,0)</f>
        <v>0</v>
      </c>
      <c r="C147" t="e">
        <f>_xlfn.IFNA(INDEX(Data!$H$24:$J$28,MATCH(#REF!,Data!$G$24:$G$28,1),MATCH(#REF!,Data!$H$23:$J$23,1)),0)</f>
        <v>#REF!</v>
      </c>
      <c r="D147" t="str">
        <f>RIGHT(TRIM('DL 1'!G148),1)</f>
        <v/>
      </c>
      <c r="E147" s="8">
        <f>'DL 1'!E148*'DL 1'!D148</f>
        <v>0</v>
      </c>
      <c r="F147" t="str">
        <f>_xlfn.IFNA(VLOOKUP(TRIM('DL 1'!G148),Data!$A:$C,3,0),"")</f>
        <v/>
      </c>
      <c r="G147" s="7">
        <f>'DL 1'!E148</f>
        <v>0</v>
      </c>
      <c r="H147" s="21">
        <f>_xlfn.IFNA(VLOOKUP(TRIM('DL 1'!G148),Data!$A:$D,4,0),0)</f>
        <v>0</v>
      </c>
      <c r="I147">
        <f>_xlfn.IFNA(INDEX(Data!$G$5:$K$10,MATCH('DL 1'!D148,Data!$F$5:$F$10,1),MATCH(_xlfn.SINGLE(#REF!),Data!$G$4:$K$4,1)),0)</f>
        <v>0</v>
      </c>
      <c r="J147">
        <f>_xlfn.IFNA(IF(VLOOKUP(TRIM('DL 1'!G148),Data!$A:$C,3,0)="ST1",H147*I147*G147,IF(VLOOKUP(TRIM('DL 1'!G148),Data!$A:$C,3,0)="IR0",H147*G147,MIN(H147:I147)*G147)),0)</f>
        <v>0</v>
      </c>
      <c r="K147" t="e">
        <f>_xlfn.IFNA(VLOOKUP(TRIM(#REF!),Data!$A:$D,4,0)*#REF!,0)</f>
        <v>#REF!</v>
      </c>
      <c r="L147">
        <f>IF(TRIM('DL 1'!G148)="EDCLNHT0IRNLI",20000,0)</f>
        <v>0</v>
      </c>
      <c r="M147">
        <f>IF(ISERROR(MATCH('DL 1'!A148,#REF!,0)),0,J147*2)</f>
        <v>0</v>
      </c>
      <c r="N147" t="e">
        <f>#REF!</f>
        <v>#REF!</v>
      </c>
      <c r="O147">
        <f>_xlfn.IFNA(VLOOKUP(RIGHT(VLOOKUP(TRIM('DL 1'!G148),Data!$A:$B,2,0),1),Data!$L$23:$M$30,2,0),0)</f>
        <v>0</v>
      </c>
      <c r="P147">
        <f t="shared" si="30"/>
        <v>0</v>
      </c>
      <c r="Q147" s="7" t="b">
        <f t="shared" si="21"/>
        <v>0</v>
      </c>
      <c r="R147" s="27">
        <f>INCENTIVE!$E$8</f>
        <v>130000000</v>
      </c>
      <c r="S147">
        <f>'DL 1'!D148</f>
        <v>0</v>
      </c>
      <c r="T147" t="str">
        <f t="shared" si="22"/>
        <v>1</v>
      </c>
      <c r="V147" t="str">
        <f t="shared" si="23"/>
        <v>1</v>
      </c>
      <c r="W147">
        <f t="shared" si="24"/>
        <v>0.25</v>
      </c>
      <c r="X147" s="7">
        <f>'DL 1'!E148</f>
        <v>0</v>
      </c>
      <c r="Y147" s="69">
        <f>'DL 1'!G148</f>
        <v>0</v>
      </c>
      <c r="AC147" t="str">
        <f>IFERROR(VLOOKUP(Y147,Data!$G$65:$K$79,2,0) *X147,"")</f>
        <v/>
      </c>
      <c r="AD147" s="7">
        <f t="shared" si="25"/>
        <v>0</v>
      </c>
      <c r="AE147">
        <f>'DL 1'!F148</f>
        <v>0</v>
      </c>
      <c r="AF147" t="str">
        <f>IFERROR(VLOOKUP(Y147,Data!$G$65:$K$79,4,0),"")</f>
        <v/>
      </c>
      <c r="AG147" s="51" t="e">
        <f>#REF!</f>
        <v>#REF!</v>
      </c>
      <c r="AK147">
        <f t="shared" si="26"/>
        <v>0</v>
      </c>
      <c r="AL147">
        <f t="shared" si="27"/>
        <v>0</v>
      </c>
      <c r="AM147" s="70">
        <f t="shared" si="28"/>
        <v>0</v>
      </c>
      <c r="AN147" s="7" t="b">
        <f t="shared" si="29"/>
        <v>0</v>
      </c>
    </row>
    <row r="148" spans="1:40" x14ac:dyDescent="0.3">
      <c r="A148" s="50">
        <f>IF(D148="A",_xlfn.IFNA(INDEX(Data!$H$24:$J$28,MATCH('DL 1'!E149,Data!$G$24:$G$28,1),MATCH('DL 1'!D149,Data!$H$23:$J$23,1)),0),0)</f>
        <v>0</v>
      </c>
      <c r="B148">
        <f>IF('DL 1'!F149="Y",Q148,0)</f>
        <v>0</v>
      </c>
      <c r="C148" t="e">
        <f>_xlfn.IFNA(INDEX(Data!$H$24:$J$28,MATCH(#REF!,Data!$G$24:$G$28,1),MATCH(#REF!,Data!$H$23:$J$23,1)),0)</f>
        <v>#REF!</v>
      </c>
      <c r="D148" t="str">
        <f>RIGHT(TRIM('DL 1'!G149),1)</f>
        <v/>
      </c>
      <c r="E148" s="8">
        <f>'DL 1'!E149*'DL 1'!D149</f>
        <v>0</v>
      </c>
      <c r="F148" t="str">
        <f>_xlfn.IFNA(VLOOKUP(TRIM('DL 1'!G149),Data!$A:$C,3,0),"")</f>
        <v/>
      </c>
      <c r="G148" s="7">
        <f>'DL 1'!E149</f>
        <v>0</v>
      </c>
      <c r="H148" s="21">
        <f>_xlfn.IFNA(VLOOKUP(TRIM('DL 1'!G149),Data!$A:$D,4,0),0)</f>
        <v>0</v>
      </c>
      <c r="I148">
        <f>_xlfn.IFNA(INDEX(Data!$G$5:$K$10,MATCH('DL 1'!D149,Data!$F$5:$F$10,1),MATCH(_xlfn.SINGLE(#REF!),Data!$G$4:$K$4,1)),0)</f>
        <v>0</v>
      </c>
      <c r="J148">
        <f>_xlfn.IFNA(IF(VLOOKUP(TRIM('DL 1'!G149),Data!$A:$C,3,0)="ST1",H148*I148*G148,IF(VLOOKUP(TRIM('DL 1'!G149),Data!$A:$C,3,0)="IR0",H148*G148,MIN(H148:I148)*G148)),0)</f>
        <v>0</v>
      </c>
      <c r="K148" t="e">
        <f>_xlfn.IFNA(VLOOKUP(TRIM(#REF!),Data!$A:$D,4,0)*#REF!,0)</f>
        <v>#REF!</v>
      </c>
      <c r="L148">
        <f>IF(TRIM('DL 1'!G149)="EDCLNHT0IRNLI",20000,0)</f>
        <v>0</v>
      </c>
      <c r="M148">
        <f>IF(ISERROR(MATCH('DL 1'!A149,#REF!,0)),0,J148*2)</f>
        <v>0</v>
      </c>
      <c r="N148" t="e">
        <f>#REF!</f>
        <v>#REF!</v>
      </c>
      <c r="O148">
        <f>_xlfn.IFNA(VLOOKUP(RIGHT(VLOOKUP(TRIM('DL 1'!G149),Data!$A:$B,2,0),1),Data!$L$23:$M$30,2,0),0)</f>
        <v>0</v>
      </c>
      <c r="P148">
        <f t="shared" si="30"/>
        <v>0</v>
      </c>
      <c r="Q148" s="7" t="b">
        <f t="shared" si="21"/>
        <v>0</v>
      </c>
      <c r="R148" s="27">
        <f>INCENTIVE!$E$8</f>
        <v>130000000</v>
      </c>
      <c r="S148">
        <f>'DL 1'!D149</f>
        <v>0</v>
      </c>
      <c r="T148" t="str">
        <f t="shared" si="22"/>
        <v>1</v>
      </c>
      <c r="V148" t="str">
        <f t="shared" si="23"/>
        <v>1</v>
      </c>
      <c r="W148">
        <f t="shared" si="24"/>
        <v>0.25</v>
      </c>
      <c r="X148" s="7">
        <f>'DL 1'!E149</f>
        <v>0</v>
      </c>
      <c r="Y148" s="69">
        <f>'DL 1'!G149</f>
        <v>0</v>
      </c>
      <c r="AC148" t="str">
        <f>IFERROR(VLOOKUP(Y148,Data!$G$65:$K$79,2,0) *X148,"")</f>
        <v/>
      </c>
      <c r="AD148" s="7">
        <f t="shared" si="25"/>
        <v>0</v>
      </c>
      <c r="AE148">
        <f>'DL 1'!F149</f>
        <v>0</v>
      </c>
      <c r="AF148" t="str">
        <f>IFERROR(VLOOKUP(Y148,Data!$G$65:$K$79,4,0),"")</f>
        <v/>
      </c>
      <c r="AG148" s="51" t="e">
        <f>#REF!</f>
        <v>#REF!</v>
      </c>
      <c r="AK148">
        <f t="shared" si="26"/>
        <v>0</v>
      </c>
      <c r="AL148">
        <f t="shared" si="27"/>
        <v>0</v>
      </c>
      <c r="AM148" s="70">
        <f t="shared" si="28"/>
        <v>0</v>
      </c>
      <c r="AN148" s="7" t="b">
        <f t="shared" si="29"/>
        <v>0</v>
      </c>
    </row>
    <row r="149" spans="1:40" x14ac:dyDescent="0.3">
      <c r="A149" s="50">
        <f>IF(D149="A",_xlfn.IFNA(INDEX(Data!$H$24:$J$28,MATCH('DL 1'!E150,Data!$G$24:$G$28,1),MATCH('DL 1'!D150,Data!$H$23:$J$23,1)),0),0)</f>
        <v>0</v>
      </c>
      <c r="B149">
        <f>IF('DL 1'!F150="Y",Q149,0)</f>
        <v>0</v>
      </c>
      <c r="C149" t="e">
        <f>_xlfn.IFNA(INDEX(Data!$H$24:$J$28,MATCH(#REF!,Data!$G$24:$G$28,1),MATCH(#REF!,Data!$H$23:$J$23,1)),0)</f>
        <v>#REF!</v>
      </c>
      <c r="D149" t="str">
        <f>RIGHT(TRIM('DL 1'!G150),1)</f>
        <v/>
      </c>
      <c r="E149" s="8">
        <f>'DL 1'!E150*'DL 1'!D150</f>
        <v>0</v>
      </c>
      <c r="F149" t="str">
        <f>_xlfn.IFNA(VLOOKUP(TRIM('DL 1'!G150),Data!$A:$C,3,0),"")</f>
        <v/>
      </c>
      <c r="G149" s="7">
        <f>'DL 1'!E150</f>
        <v>0</v>
      </c>
      <c r="H149" s="21">
        <f>_xlfn.IFNA(VLOOKUP(TRIM('DL 1'!G150),Data!$A:$D,4,0),0)</f>
        <v>0</v>
      </c>
      <c r="I149">
        <f>_xlfn.IFNA(INDEX(Data!$G$5:$K$10,MATCH('DL 1'!D150,Data!$F$5:$F$10,1),MATCH(_xlfn.SINGLE(#REF!),Data!$G$4:$K$4,1)),0)</f>
        <v>0</v>
      </c>
      <c r="J149">
        <f>_xlfn.IFNA(IF(VLOOKUP(TRIM('DL 1'!G150),Data!$A:$C,3,0)="ST1",H149*I149*G149,IF(VLOOKUP(TRIM('DL 1'!G150),Data!$A:$C,3,0)="IR0",H149*G149,MIN(H149:I149)*G149)),0)</f>
        <v>0</v>
      </c>
      <c r="K149" t="e">
        <f>_xlfn.IFNA(VLOOKUP(TRIM(#REF!),Data!$A:$D,4,0)*#REF!,0)</f>
        <v>#REF!</v>
      </c>
      <c r="L149">
        <f>IF(TRIM('DL 1'!G150)="EDCLNHT0IRNLI",20000,0)</f>
        <v>0</v>
      </c>
      <c r="M149">
        <f>IF(ISERROR(MATCH('DL 1'!A150,#REF!,0)),0,J149*2)</f>
        <v>0</v>
      </c>
      <c r="N149" t="e">
        <f>#REF!</f>
        <v>#REF!</v>
      </c>
      <c r="O149">
        <f>_xlfn.IFNA(VLOOKUP(RIGHT(VLOOKUP(TRIM('DL 1'!G150),Data!$A:$B,2,0),1),Data!$L$23:$M$30,2,0),0)</f>
        <v>0</v>
      </c>
      <c r="P149">
        <f t="shared" si="30"/>
        <v>0</v>
      </c>
      <c r="Q149" s="7" t="b">
        <f t="shared" si="21"/>
        <v>0</v>
      </c>
      <c r="R149" s="27">
        <f>INCENTIVE!$E$8</f>
        <v>130000000</v>
      </c>
      <c r="S149">
        <f>'DL 1'!D150</f>
        <v>0</v>
      </c>
      <c r="T149" t="str">
        <f t="shared" si="22"/>
        <v>1</v>
      </c>
      <c r="V149" t="str">
        <f t="shared" si="23"/>
        <v>1</v>
      </c>
      <c r="W149">
        <f t="shared" si="24"/>
        <v>0.25</v>
      </c>
      <c r="X149" s="7">
        <f>'DL 1'!E150</f>
        <v>0</v>
      </c>
      <c r="Y149" s="69">
        <f>'DL 1'!G150</f>
        <v>0</v>
      </c>
      <c r="AC149" t="str">
        <f>IFERROR(VLOOKUP(Y149,Data!$G$65:$K$79,2,0) *X149,"")</f>
        <v/>
      </c>
      <c r="AD149" s="7">
        <f t="shared" si="25"/>
        <v>0</v>
      </c>
      <c r="AE149">
        <f>'DL 1'!F150</f>
        <v>0</v>
      </c>
      <c r="AF149" t="str">
        <f>IFERROR(VLOOKUP(Y149,Data!$G$65:$K$79,4,0),"")</f>
        <v/>
      </c>
      <c r="AG149" s="51" t="e">
        <f>#REF!</f>
        <v>#REF!</v>
      </c>
      <c r="AK149">
        <f t="shared" si="26"/>
        <v>0</v>
      </c>
      <c r="AL149">
        <f t="shared" si="27"/>
        <v>0</v>
      </c>
      <c r="AM149" s="70">
        <f t="shared" si="28"/>
        <v>0</v>
      </c>
      <c r="AN149" s="7" t="b">
        <f t="shared" si="29"/>
        <v>0</v>
      </c>
    </row>
    <row r="150" spans="1:40" x14ac:dyDescent="0.3">
      <c r="A150" s="50">
        <f>IF(D150="A",_xlfn.IFNA(INDEX(Data!$H$24:$J$28,MATCH('DL 1'!E151,Data!$G$24:$G$28,1),MATCH('DL 1'!D151,Data!$H$23:$J$23,1)),0),0)</f>
        <v>0</v>
      </c>
      <c r="B150">
        <f>IF('DL 1'!F151="Y",Q150,0)</f>
        <v>0</v>
      </c>
      <c r="C150" t="e">
        <f>_xlfn.IFNA(INDEX(Data!$H$24:$J$28,MATCH(#REF!,Data!$G$24:$G$28,1),MATCH(#REF!,Data!$H$23:$J$23,1)),0)</f>
        <v>#REF!</v>
      </c>
      <c r="D150" t="str">
        <f>RIGHT(TRIM('DL 1'!G151),1)</f>
        <v/>
      </c>
      <c r="E150" s="8">
        <f>'DL 1'!E151*'DL 1'!D151</f>
        <v>0</v>
      </c>
      <c r="F150" t="str">
        <f>_xlfn.IFNA(VLOOKUP(TRIM('DL 1'!G151),Data!$A:$C,3,0),"")</f>
        <v/>
      </c>
      <c r="G150" s="7">
        <f>'DL 1'!E151</f>
        <v>0</v>
      </c>
      <c r="H150" s="21">
        <f>_xlfn.IFNA(VLOOKUP(TRIM('DL 1'!G151),Data!$A:$D,4,0),0)</f>
        <v>0</v>
      </c>
      <c r="I150">
        <f>_xlfn.IFNA(INDEX(Data!$G$5:$K$10,MATCH('DL 1'!D151,Data!$F$5:$F$10,1),MATCH(_xlfn.SINGLE(#REF!),Data!$G$4:$K$4,1)),0)</f>
        <v>0</v>
      </c>
      <c r="J150">
        <f>_xlfn.IFNA(IF(VLOOKUP(TRIM('DL 1'!G151),Data!$A:$C,3,0)="ST1",H150*I150*G150,IF(VLOOKUP(TRIM('DL 1'!G151),Data!$A:$C,3,0)="IR0",H150*G150,MIN(H150:I150)*G150)),0)</f>
        <v>0</v>
      </c>
      <c r="K150" t="e">
        <f>_xlfn.IFNA(VLOOKUP(TRIM(#REF!),Data!$A:$D,4,0)*#REF!,0)</f>
        <v>#REF!</v>
      </c>
      <c r="L150">
        <f>IF(TRIM('DL 1'!G151)="EDCLNHT0IRNLI",20000,0)</f>
        <v>0</v>
      </c>
      <c r="M150">
        <f>IF(ISERROR(MATCH('DL 1'!A151,#REF!,0)),0,J150*2)</f>
        <v>0</v>
      </c>
      <c r="N150" t="e">
        <f>#REF!</f>
        <v>#REF!</v>
      </c>
      <c r="O150">
        <f>_xlfn.IFNA(VLOOKUP(RIGHT(VLOOKUP(TRIM('DL 1'!G151),Data!$A:$B,2,0),1),Data!$L$23:$M$30,2,0),0)</f>
        <v>0</v>
      </c>
      <c r="P150">
        <f t="shared" si="30"/>
        <v>0</v>
      </c>
      <c r="Q150" s="7" t="b">
        <f t="shared" si="21"/>
        <v>0</v>
      </c>
      <c r="R150" s="27">
        <f>INCENTIVE!$E$8</f>
        <v>130000000</v>
      </c>
      <c r="S150">
        <f>'DL 1'!D151</f>
        <v>0</v>
      </c>
      <c r="T150" t="str">
        <f t="shared" si="22"/>
        <v>1</v>
      </c>
      <c r="V150" t="str">
        <f t="shared" si="23"/>
        <v>1</v>
      </c>
      <c r="W150">
        <f t="shared" si="24"/>
        <v>0.25</v>
      </c>
      <c r="X150" s="7">
        <f>'DL 1'!E151</f>
        <v>0</v>
      </c>
      <c r="Y150" s="69">
        <f>'DL 1'!G151</f>
        <v>0</v>
      </c>
      <c r="AC150" t="str">
        <f>IFERROR(VLOOKUP(Y150,Data!$G$65:$K$79,2,0) *X150,"")</f>
        <v/>
      </c>
      <c r="AD150" s="7">
        <f t="shared" si="25"/>
        <v>0</v>
      </c>
      <c r="AE150">
        <f>'DL 1'!F151</f>
        <v>0</v>
      </c>
      <c r="AF150" t="str">
        <f>IFERROR(VLOOKUP(Y150,Data!$G$65:$K$79,4,0),"")</f>
        <v/>
      </c>
      <c r="AG150" s="51" t="e">
        <f>#REF!</f>
        <v>#REF!</v>
      </c>
      <c r="AK150">
        <f t="shared" si="26"/>
        <v>0</v>
      </c>
      <c r="AL150">
        <f t="shared" si="27"/>
        <v>0</v>
      </c>
      <c r="AM150" s="70">
        <f t="shared" si="28"/>
        <v>0</v>
      </c>
      <c r="AN150" s="7" t="b">
        <f t="shared" si="29"/>
        <v>0</v>
      </c>
    </row>
    <row r="151" spans="1:40" x14ac:dyDescent="0.3">
      <c r="A151" s="50">
        <f>IF(D151="A",_xlfn.IFNA(INDEX(Data!$H$24:$J$28,MATCH('DL 1'!E152,Data!$G$24:$G$28,1),MATCH('DL 1'!D152,Data!$H$23:$J$23,1)),0),0)</f>
        <v>0</v>
      </c>
      <c r="B151">
        <f>IF('DL 1'!F152="Y",Q151,0)</f>
        <v>0</v>
      </c>
      <c r="C151" t="e">
        <f>_xlfn.IFNA(INDEX(Data!$H$24:$J$28,MATCH(#REF!,Data!$G$24:$G$28,1),MATCH(#REF!,Data!$H$23:$J$23,1)),0)</f>
        <v>#REF!</v>
      </c>
      <c r="D151" t="str">
        <f>RIGHT(TRIM('DL 1'!G152),1)</f>
        <v/>
      </c>
      <c r="E151" s="8">
        <f>'DL 1'!E152*'DL 1'!D152</f>
        <v>0</v>
      </c>
      <c r="F151" t="str">
        <f>_xlfn.IFNA(VLOOKUP(TRIM('DL 1'!G152),Data!$A:$C,3,0),"")</f>
        <v/>
      </c>
      <c r="G151" s="7">
        <f>'DL 1'!E152</f>
        <v>0</v>
      </c>
      <c r="H151" s="21">
        <f>_xlfn.IFNA(VLOOKUP(TRIM('DL 1'!G152),Data!$A:$D,4,0),0)</f>
        <v>0</v>
      </c>
      <c r="I151">
        <f>_xlfn.IFNA(INDEX(Data!$G$5:$K$10,MATCH('DL 1'!D152,Data!$F$5:$F$10,1),MATCH(_xlfn.SINGLE(#REF!),Data!$G$4:$K$4,1)),0)</f>
        <v>0</v>
      </c>
      <c r="J151">
        <f>_xlfn.IFNA(IF(VLOOKUP(TRIM('DL 1'!G152),Data!$A:$C,3,0)="ST1",H151*I151*G151,IF(VLOOKUP(TRIM('DL 1'!G152),Data!$A:$C,3,0)="IR0",H151*G151,MIN(H151:I151)*G151)),0)</f>
        <v>0</v>
      </c>
      <c r="K151" t="e">
        <f>_xlfn.IFNA(VLOOKUP(TRIM(#REF!),Data!$A:$D,4,0)*#REF!,0)</f>
        <v>#REF!</v>
      </c>
      <c r="L151">
        <f>IF(TRIM('DL 1'!G152)="EDCLNHT0IRNLI",20000,0)</f>
        <v>0</v>
      </c>
      <c r="M151">
        <f>IF(ISERROR(MATCH('DL 1'!A152,#REF!,0)),0,J151*2)</f>
        <v>0</v>
      </c>
      <c r="N151" t="e">
        <f>#REF!</f>
        <v>#REF!</v>
      </c>
      <c r="O151">
        <f>_xlfn.IFNA(VLOOKUP(RIGHT(VLOOKUP(TRIM('DL 1'!G152),Data!$A:$B,2,0),1),Data!$L$23:$M$30,2,0),0)</f>
        <v>0</v>
      </c>
      <c r="P151">
        <f t="shared" si="30"/>
        <v>0</v>
      </c>
      <c r="Q151" s="7" t="b">
        <f t="shared" si="21"/>
        <v>0</v>
      </c>
      <c r="R151" s="27">
        <f>INCENTIVE!$E$8</f>
        <v>130000000</v>
      </c>
      <c r="S151">
        <f>'DL 1'!D152</f>
        <v>0</v>
      </c>
      <c r="T151" t="str">
        <f t="shared" si="22"/>
        <v>1</v>
      </c>
      <c r="V151" t="str">
        <f t="shared" si="23"/>
        <v>1</v>
      </c>
      <c r="W151">
        <f t="shared" si="24"/>
        <v>0.25</v>
      </c>
      <c r="X151" s="7">
        <f>'DL 1'!E152</f>
        <v>0</v>
      </c>
      <c r="Y151" s="69">
        <f>'DL 1'!G152</f>
        <v>0</v>
      </c>
      <c r="AC151" t="str">
        <f>IFERROR(VLOOKUP(Y151,Data!$G$65:$K$79,2,0) *X151,"")</f>
        <v/>
      </c>
      <c r="AD151" s="7">
        <f t="shared" si="25"/>
        <v>0</v>
      </c>
      <c r="AE151">
        <f>'DL 1'!F152</f>
        <v>0</v>
      </c>
      <c r="AF151" t="str">
        <f>IFERROR(VLOOKUP(Y151,Data!$G$65:$K$79,4,0),"")</f>
        <v/>
      </c>
      <c r="AG151" s="51" t="e">
        <f>#REF!</f>
        <v>#REF!</v>
      </c>
      <c r="AK151">
        <f t="shared" si="26"/>
        <v>0</v>
      </c>
      <c r="AL151">
        <f t="shared" si="27"/>
        <v>0</v>
      </c>
      <c r="AM151" s="70">
        <f t="shared" si="28"/>
        <v>0</v>
      </c>
      <c r="AN151" s="7" t="b">
        <f t="shared" si="29"/>
        <v>0</v>
      </c>
    </row>
    <row r="152" spans="1:40" x14ac:dyDescent="0.3">
      <c r="A152" s="50">
        <f>IF(D152="A",_xlfn.IFNA(INDEX(Data!$H$24:$J$28,MATCH('DL 1'!E153,Data!$G$24:$G$28,1),MATCH('DL 1'!D153,Data!$H$23:$J$23,1)),0),0)</f>
        <v>0</v>
      </c>
      <c r="B152">
        <f>IF('DL 1'!F153="Y",Q152,0)</f>
        <v>0</v>
      </c>
      <c r="C152" t="e">
        <f>_xlfn.IFNA(INDEX(Data!$H$24:$J$28,MATCH(#REF!,Data!$G$24:$G$28,1),MATCH(#REF!,Data!$H$23:$J$23,1)),0)</f>
        <v>#REF!</v>
      </c>
      <c r="D152" t="str">
        <f>RIGHT(TRIM('DL 1'!G153),1)</f>
        <v/>
      </c>
      <c r="E152" s="8">
        <f>'DL 1'!E153*'DL 1'!D153</f>
        <v>0</v>
      </c>
      <c r="F152" t="str">
        <f>_xlfn.IFNA(VLOOKUP(TRIM('DL 1'!G153),Data!$A:$C,3,0),"")</f>
        <v/>
      </c>
      <c r="G152" s="7">
        <f>'DL 1'!E153</f>
        <v>0</v>
      </c>
      <c r="H152" s="21">
        <f>_xlfn.IFNA(VLOOKUP(TRIM('DL 1'!G153),Data!$A:$D,4,0),0)</f>
        <v>0</v>
      </c>
      <c r="I152">
        <f>_xlfn.IFNA(INDEX(Data!$G$5:$K$10,MATCH('DL 1'!D153,Data!$F$5:$F$10,1),MATCH(_xlfn.SINGLE(#REF!),Data!$G$4:$K$4,1)),0)</f>
        <v>0</v>
      </c>
      <c r="J152">
        <f>_xlfn.IFNA(IF(VLOOKUP(TRIM('DL 1'!G153),Data!$A:$C,3,0)="ST1",H152*I152*G152,IF(VLOOKUP(TRIM('DL 1'!G153),Data!$A:$C,3,0)="IR0",H152*G152,MIN(H152:I152)*G152)),0)</f>
        <v>0</v>
      </c>
      <c r="K152" t="e">
        <f>_xlfn.IFNA(VLOOKUP(TRIM(#REF!),Data!$A:$D,4,0)*#REF!,0)</f>
        <v>#REF!</v>
      </c>
      <c r="L152">
        <f>IF(TRIM('DL 1'!G153)="EDCLNHT0IRNLI",20000,0)</f>
        <v>0</v>
      </c>
      <c r="M152">
        <f>IF(ISERROR(MATCH('DL 1'!A153,#REF!,0)),0,J152*2)</f>
        <v>0</v>
      </c>
      <c r="N152" t="e">
        <f>#REF!</f>
        <v>#REF!</v>
      </c>
      <c r="O152">
        <f>_xlfn.IFNA(VLOOKUP(RIGHT(VLOOKUP(TRIM('DL 1'!G153),Data!$A:$B,2,0),1),Data!$L$23:$M$30,2,0),0)</f>
        <v>0</v>
      </c>
      <c r="P152">
        <f t="shared" si="30"/>
        <v>0</v>
      </c>
      <c r="Q152" s="7" t="b">
        <f t="shared" si="21"/>
        <v>0</v>
      </c>
      <c r="R152" s="27">
        <f>INCENTIVE!$E$8</f>
        <v>130000000</v>
      </c>
      <c r="S152">
        <f>'DL 1'!D153</f>
        <v>0</v>
      </c>
      <c r="T152" t="str">
        <f t="shared" si="22"/>
        <v>1</v>
      </c>
      <c r="V152" t="str">
        <f t="shared" si="23"/>
        <v>1</v>
      </c>
      <c r="W152">
        <f t="shared" si="24"/>
        <v>0.25</v>
      </c>
      <c r="X152" s="7">
        <f>'DL 1'!E153</f>
        <v>0</v>
      </c>
      <c r="Y152" s="69">
        <f>'DL 1'!G153</f>
        <v>0</v>
      </c>
      <c r="AC152" t="str">
        <f>IFERROR(VLOOKUP(Y152,Data!$G$65:$K$79,2,0) *X152,"")</f>
        <v/>
      </c>
      <c r="AD152" s="7">
        <f t="shared" si="25"/>
        <v>0</v>
      </c>
      <c r="AE152">
        <f>'DL 1'!F153</f>
        <v>0</v>
      </c>
      <c r="AF152" t="str">
        <f>IFERROR(VLOOKUP(Y152,Data!$G$65:$K$79,4,0),"")</f>
        <v/>
      </c>
      <c r="AG152" s="51" t="e">
        <f>#REF!</f>
        <v>#REF!</v>
      </c>
      <c r="AK152">
        <f t="shared" si="26"/>
        <v>0</v>
      </c>
      <c r="AL152">
        <f t="shared" si="27"/>
        <v>0</v>
      </c>
      <c r="AM152" s="70">
        <f t="shared" si="28"/>
        <v>0</v>
      </c>
      <c r="AN152" s="7" t="b">
        <f t="shared" si="29"/>
        <v>0</v>
      </c>
    </row>
    <row r="153" spans="1:40" x14ac:dyDescent="0.3">
      <c r="A153" s="50">
        <f>IF(D153="A",_xlfn.IFNA(INDEX(Data!$H$24:$J$28,MATCH('DL 1'!E154,Data!$G$24:$G$28,1),MATCH('DL 1'!D154,Data!$H$23:$J$23,1)),0),0)</f>
        <v>0</v>
      </c>
      <c r="B153">
        <f>IF('DL 1'!F154="Y",Q153,0)</f>
        <v>0</v>
      </c>
      <c r="C153" t="e">
        <f>_xlfn.IFNA(INDEX(Data!$H$24:$J$28,MATCH(#REF!,Data!$G$24:$G$28,1),MATCH(#REF!,Data!$H$23:$J$23,1)),0)</f>
        <v>#REF!</v>
      </c>
      <c r="D153" t="str">
        <f>RIGHT(TRIM('DL 1'!G154),1)</f>
        <v/>
      </c>
      <c r="E153" s="8">
        <f>'DL 1'!E154*'DL 1'!D154</f>
        <v>0</v>
      </c>
      <c r="F153" t="str">
        <f>_xlfn.IFNA(VLOOKUP(TRIM('DL 1'!G154),Data!$A:$C,3,0),"")</f>
        <v/>
      </c>
      <c r="G153" s="7">
        <f>'DL 1'!E154</f>
        <v>0</v>
      </c>
      <c r="H153" s="21">
        <f>_xlfn.IFNA(VLOOKUP(TRIM('DL 1'!G154),Data!$A:$D,4,0),0)</f>
        <v>0</v>
      </c>
      <c r="I153">
        <f>_xlfn.IFNA(INDEX(Data!$G$5:$K$10,MATCH('DL 1'!D154,Data!$F$5:$F$10,1),MATCH(_xlfn.SINGLE(#REF!),Data!$G$4:$K$4,1)),0)</f>
        <v>0</v>
      </c>
      <c r="J153">
        <f>_xlfn.IFNA(IF(VLOOKUP(TRIM('DL 1'!G154),Data!$A:$C,3,0)="ST1",H153*I153*G153,IF(VLOOKUP(TRIM('DL 1'!G154),Data!$A:$C,3,0)="IR0",H153*G153,MIN(H153:I153)*G153)),0)</f>
        <v>0</v>
      </c>
      <c r="K153" t="e">
        <f>_xlfn.IFNA(VLOOKUP(TRIM(#REF!),Data!$A:$D,4,0)*#REF!,0)</f>
        <v>#REF!</v>
      </c>
      <c r="L153">
        <f>IF(TRIM('DL 1'!G154)="EDCLNHT0IRNLI",20000,0)</f>
        <v>0</v>
      </c>
      <c r="M153">
        <f>IF(ISERROR(MATCH('DL 1'!A154,#REF!,0)),0,J153*2)</f>
        <v>0</v>
      </c>
      <c r="N153" t="e">
        <f>#REF!</f>
        <v>#REF!</v>
      </c>
      <c r="O153">
        <f>_xlfn.IFNA(VLOOKUP(RIGHT(VLOOKUP(TRIM('DL 1'!G154),Data!$A:$B,2,0),1),Data!$L$23:$M$30,2,0),0)</f>
        <v>0</v>
      </c>
      <c r="P153">
        <f t="shared" si="30"/>
        <v>0</v>
      </c>
      <c r="Q153" s="7" t="b">
        <f t="shared" si="21"/>
        <v>0</v>
      </c>
      <c r="R153" s="27">
        <f>INCENTIVE!$E$8</f>
        <v>130000000</v>
      </c>
      <c r="S153">
        <f>'DL 1'!D154</f>
        <v>0</v>
      </c>
      <c r="T153" t="str">
        <f t="shared" si="22"/>
        <v>1</v>
      </c>
      <c r="V153" t="str">
        <f t="shared" si="23"/>
        <v>1</v>
      </c>
      <c r="W153">
        <f t="shared" si="24"/>
        <v>0.25</v>
      </c>
      <c r="X153" s="7">
        <f>'DL 1'!E154</f>
        <v>0</v>
      </c>
      <c r="Y153" s="69">
        <f>'DL 1'!G154</f>
        <v>0</v>
      </c>
      <c r="AC153" t="str">
        <f>IFERROR(VLOOKUP(Y153,Data!$G$65:$K$79,2,0) *X153,"")</f>
        <v/>
      </c>
      <c r="AD153" s="7">
        <f t="shared" si="25"/>
        <v>0</v>
      </c>
      <c r="AE153">
        <f>'DL 1'!F154</f>
        <v>0</v>
      </c>
      <c r="AF153" t="str">
        <f>IFERROR(VLOOKUP(Y153,Data!$G$65:$K$79,4,0),"")</f>
        <v/>
      </c>
      <c r="AG153" s="51" t="e">
        <f>#REF!</f>
        <v>#REF!</v>
      </c>
      <c r="AK153">
        <f t="shared" si="26"/>
        <v>0</v>
      </c>
      <c r="AL153">
        <f t="shared" si="27"/>
        <v>0</v>
      </c>
      <c r="AM153" s="70">
        <f t="shared" si="28"/>
        <v>0</v>
      </c>
      <c r="AN153" s="7" t="b">
        <f t="shared" si="29"/>
        <v>0</v>
      </c>
    </row>
    <row r="154" spans="1:40" x14ac:dyDescent="0.3">
      <c r="A154" s="50">
        <f>IF(D154="A",_xlfn.IFNA(INDEX(Data!$H$24:$J$28,MATCH('DL 1'!E155,Data!$G$24:$G$28,1),MATCH('DL 1'!D155,Data!$H$23:$J$23,1)),0),0)</f>
        <v>0</v>
      </c>
      <c r="B154">
        <f>IF('DL 1'!F155="Y",Q154,0)</f>
        <v>0</v>
      </c>
      <c r="C154" t="e">
        <f>_xlfn.IFNA(INDEX(Data!$H$24:$J$28,MATCH(#REF!,Data!$G$24:$G$28,1),MATCH(#REF!,Data!$H$23:$J$23,1)),0)</f>
        <v>#REF!</v>
      </c>
      <c r="D154" t="str">
        <f>RIGHT(TRIM('DL 1'!G155),1)</f>
        <v/>
      </c>
      <c r="E154" s="8">
        <f>'DL 1'!E155*'DL 1'!D155</f>
        <v>0</v>
      </c>
      <c r="F154" t="str">
        <f>_xlfn.IFNA(VLOOKUP(TRIM('DL 1'!G155),Data!$A:$C,3,0),"")</f>
        <v/>
      </c>
      <c r="G154" s="7">
        <f>'DL 1'!E155</f>
        <v>0</v>
      </c>
      <c r="H154" s="21">
        <f>_xlfn.IFNA(VLOOKUP(TRIM('DL 1'!G155),Data!$A:$D,4,0),0)</f>
        <v>0</v>
      </c>
      <c r="I154">
        <f>_xlfn.IFNA(INDEX(Data!$G$5:$K$10,MATCH('DL 1'!D155,Data!$F$5:$F$10,1),MATCH(_xlfn.SINGLE(#REF!),Data!$G$4:$K$4,1)),0)</f>
        <v>0</v>
      </c>
      <c r="J154">
        <f>_xlfn.IFNA(IF(VLOOKUP(TRIM('DL 1'!G155),Data!$A:$C,3,0)="ST1",H154*I154*G154,IF(VLOOKUP(TRIM('DL 1'!G155),Data!$A:$C,3,0)="IR0",H154*G154,MIN(H154:I154)*G154)),0)</f>
        <v>0</v>
      </c>
      <c r="K154" t="e">
        <f>_xlfn.IFNA(VLOOKUP(TRIM(#REF!),Data!$A:$D,4,0)*#REF!,0)</f>
        <v>#REF!</v>
      </c>
      <c r="L154">
        <f>IF(TRIM('DL 1'!G155)="EDCLNHT0IRNLI",20000,0)</f>
        <v>0</v>
      </c>
      <c r="M154">
        <f>IF(ISERROR(MATCH('DL 1'!A155,#REF!,0)),0,J154*2)</f>
        <v>0</v>
      </c>
      <c r="N154" t="e">
        <f>#REF!</f>
        <v>#REF!</v>
      </c>
      <c r="O154">
        <f>_xlfn.IFNA(VLOOKUP(RIGHT(VLOOKUP(TRIM('DL 1'!G155),Data!$A:$B,2,0),1),Data!$L$23:$M$30,2,0),0)</f>
        <v>0</v>
      </c>
      <c r="P154">
        <f t="shared" si="30"/>
        <v>0</v>
      </c>
      <c r="Q154" s="7" t="b">
        <f t="shared" si="21"/>
        <v>0</v>
      </c>
      <c r="R154" s="27">
        <f>INCENTIVE!$E$8</f>
        <v>130000000</v>
      </c>
      <c r="S154">
        <f>'DL 1'!D155</f>
        <v>0</v>
      </c>
      <c r="T154" t="str">
        <f t="shared" si="22"/>
        <v>1</v>
      </c>
      <c r="V154" t="str">
        <f t="shared" si="23"/>
        <v>1</v>
      </c>
      <c r="W154">
        <f t="shared" si="24"/>
        <v>0.25</v>
      </c>
      <c r="X154" s="7">
        <f>'DL 1'!E155</f>
        <v>0</v>
      </c>
      <c r="Y154" s="69">
        <f>'DL 1'!G155</f>
        <v>0</v>
      </c>
      <c r="AC154" t="str">
        <f>IFERROR(VLOOKUP(Y154,Data!$G$65:$K$79,2,0) *X154,"")</f>
        <v/>
      </c>
      <c r="AD154" s="7">
        <f t="shared" si="25"/>
        <v>0</v>
      </c>
      <c r="AE154">
        <f>'DL 1'!F155</f>
        <v>0</v>
      </c>
      <c r="AF154" t="str">
        <f>IFERROR(VLOOKUP(Y154,Data!$G$65:$K$79,4,0),"")</f>
        <v/>
      </c>
      <c r="AG154" s="51" t="e">
        <f>#REF!</f>
        <v>#REF!</v>
      </c>
      <c r="AK154">
        <f t="shared" si="26"/>
        <v>0</v>
      </c>
      <c r="AL154">
        <f t="shared" si="27"/>
        <v>0</v>
      </c>
      <c r="AM154" s="70">
        <f t="shared" si="28"/>
        <v>0</v>
      </c>
      <c r="AN154" s="7" t="b">
        <f t="shared" si="29"/>
        <v>0</v>
      </c>
    </row>
    <row r="155" spans="1:40" x14ac:dyDescent="0.3">
      <c r="A155" s="50">
        <f>IF(D155="A",_xlfn.IFNA(INDEX(Data!$H$24:$J$28,MATCH('DL 1'!E156,Data!$G$24:$G$28,1),MATCH('DL 1'!D156,Data!$H$23:$J$23,1)),0),0)</f>
        <v>0</v>
      </c>
      <c r="B155">
        <f>IF('DL 1'!F156="Y",Q155,0)</f>
        <v>0</v>
      </c>
      <c r="C155" t="e">
        <f>_xlfn.IFNA(INDEX(Data!$H$24:$J$28,MATCH(#REF!,Data!$G$24:$G$28,1),MATCH(#REF!,Data!$H$23:$J$23,1)),0)</f>
        <v>#REF!</v>
      </c>
      <c r="D155" t="str">
        <f>RIGHT(TRIM('DL 1'!G156),1)</f>
        <v/>
      </c>
      <c r="E155" s="8">
        <f>'DL 1'!E156*'DL 1'!D156</f>
        <v>0</v>
      </c>
      <c r="F155" t="str">
        <f>_xlfn.IFNA(VLOOKUP(TRIM('DL 1'!G156),Data!$A:$C,3,0),"")</f>
        <v/>
      </c>
      <c r="G155" s="7">
        <f>'DL 1'!E156</f>
        <v>0</v>
      </c>
      <c r="H155" s="21">
        <f>_xlfn.IFNA(VLOOKUP(TRIM('DL 1'!G156),Data!$A:$D,4,0),0)</f>
        <v>0</v>
      </c>
      <c r="I155">
        <f>_xlfn.IFNA(INDEX(Data!$G$5:$K$10,MATCH('DL 1'!D156,Data!$F$5:$F$10,1),MATCH(_xlfn.SINGLE(#REF!),Data!$G$4:$K$4,1)),0)</f>
        <v>0</v>
      </c>
      <c r="J155">
        <f>_xlfn.IFNA(IF(VLOOKUP(TRIM('DL 1'!G156),Data!$A:$C,3,0)="ST1",H155*I155*G155,IF(VLOOKUP(TRIM('DL 1'!G156),Data!$A:$C,3,0)="IR0",H155*G155,MIN(H155:I155)*G155)),0)</f>
        <v>0</v>
      </c>
      <c r="K155" t="e">
        <f>_xlfn.IFNA(VLOOKUP(TRIM(#REF!),Data!$A:$D,4,0)*#REF!,0)</f>
        <v>#REF!</v>
      </c>
      <c r="L155">
        <f>IF(TRIM('DL 1'!G156)="EDCLNHT0IRNLI",20000,0)</f>
        <v>0</v>
      </c>
      <c r="M155">
        <f>IF(ISERROR(MATCH('DL 1'!A156,#REF!,0)),0,J155*2)</f>
        <v>0</v>
      </c>
      <c r="N155" t="e">
        <f>#REF!</f>
        <v>#REF!</v>
      </c>
      <c r="O155">
        <f>_xlfn.IFNA(VLOOKUP(RIGHT(VLOOKUP(TRIM('DL 1'!G156),Data!$A:$B,2,0),1),Data!$L$23:$M$30,2,0),0)</f>
        <v>0</v>
      </c>
      <c r="P155">
        <f t="shared" si="30"/>
        <v>0</v>
      </c>
      <c r="Q155" s="7" t="b">
        <f t="shared" si="21"/>
        <v>0</v>
      </c>
      <c r="R155" s="27">
        <f>INCENTIVE!$E$8</f>
        <v>130000000</v>
      </c>
      <c r="S155">
        <f>'DL 1'!D156</f>
        <v>0</v>
      </c>
      <c r="T155" t="str">
        <f t="shared" si="22"/>
        <v>1</v>
      </c>
      <c r="V155" t="str">
        <f t="shared" si="23"/>
        <v>1</v>
      </c>
      <c r="W155">
        <f t="shared" si="24"/>
        <v>0.25</v>
      </c>
      <c r="X155" s="7">
        <f>'DL 1'!E156</f>
        <v>0</v>
      </c>
      <c r="Y155" s="69">
        <f>'DL 1'!G156</f>
        <v>0</v>
      </c>
      <c r="AC155" t="str">
        <f>IFERROR(VLOOKUP(Y155,Data!$G$65:$K$79,2,0) *X155,"")</f>
        <v/>
      </c>
      <c r="AD155" s="7">
        <f t="shared" si="25"/>
        <v>0</v>
      </c>
      <c r="AE155">
        <f>'DL 1'!F156</f>
        <v>0</v>
      </c>
      <c r="AF155" t="str">
        <f>IFERROR(VLOOKUP(Y155,Data!$G$65:$K$79,4,0),"")</f>
        <v/>
      </c>
      <c r="AG155" s="51" t="e">
        <f>#REF!</f>
        <v>#REF!</v>
      </c>
      <c r="AK155">
        <f t="shared" si="26"/>
        <v>0</v>
      </c>
      <c r="AL155">
        <f t="shared" si="27"/>
        <v>0</v>
      </c>
      <c r="AM155" s="70">
        <f t="shared" si="28"/>
        <v>0</v>
      </c>
      <c r="AN155" s="7" t="b">
        <f t="shared" si="29"/>
        <v>0</v>
      </c>
    </row>
    <row r="156" spans="1:40" x14ac:dyDescent="0.3">
      <c r="A156" s="50">
        <f>IF(D156="A",_xlfn.IFNA(INDEX(Data!$H$24:$J$28,MATCH('DL 1'!E157,Data!$G$24:$G$28,1),MATCH('DL 1'!D157,Data!$H$23:$J$23,1)),0),0)</f>
        <v>0</v>
      </c>
      <c r="B156">
        <f>IF('DL 1'!F157="Y",Q156,0)</f>
        <v>0</v>
      </c>
      <c r="C156" t="e">
        <f>_xlfn.IFNA(INDEX(Data!$H$24:$J$28,MATCH(#REF!,Data!$G$24:$G$28,1),MATCH(#REF!,Data!$H$23:$J$23,1)),0)</f>
        <v>#REF!</v>
      </c>
      <c r="D156" t="str">
        <f>RIGHT(TRIM('DL 1'!G157),1)</f>
        <v/>
      </c>
      <c r="E156" s="8">
        <f>'DL 1'!E157*'DL 1'!D157</f>
        <v>0</v>
      </c>
      <c r="F156" t="str">
        <f>_xlfn.IFNA(VLOOKUP(TRIM('DL 1'!G157),Data!$A:$C,3,0),"")</f>
        <v/>
      </c>
      <c r="G156" s="7">
        <f>'DL 1'!E157</f>
        <v>0</v>
      </c>
      <c r="H156" s="21">
        <f>_xlfn.IFNA(VLOOKUP(TRIM('DL 1'!G157),Data!$A:$D,4,0),0)</f>
        <v>0</v>
      </c>
      <c r="I156">
        <f>_xlfn.IFNA(INDEX(Data!$G$5:$K$10,MATCH('DL 1'!D157,Data!$F$5:$F$10,1),MATCH(_xlfn.SINGLE(#REF!),Data!$G$4:$K$4,1)),0)</f>
        <v>0</v>
      </c>
      <c r="J156">
        <f>_xlfn.IFNA(IF(VLOOKUP(TRIM('DL 1'!G157),Data!$A:$C,3,0)="ST1",H156*I156*G156,IF(VLOOKUP(TRIM('DL 1'!G157),Data!$A:$C,3,0)="IR0",H156*G156,MIN(H156:I156)*G156)),0)</f>
        <v>0</v>
      </c>
      <c r="K156" t="e">
        <f>_xlfn.IFNA(VLOOKUP(TRIM(#REF!),Data!$A:$D,4,0)*#REF!,0)</f>
        <v>#REF!</v>
      </c>
      <c r="L156">
        <f>IF(TRIM('DL 1'!G157)="EDCLNHT0IRNLI",20000,0)</f>
        <v>0</v>
      </c>
      <c r="M156">
        <f>IF(ISERROR(MATCH('DL 1'!A157,#REF!,0)),0,J156*2)</f>
        <v>0</v>
      </c>
      <c r="N156" t="e">
        <f>#REF!</f>
        <v>#REF!</v>
      </c>
      <c r="O156">
        <f>_xlfn.IFNA(VLOOKUP(RIGHT(VLOOKUP(TRIM('DL 1'!G157),Data!$A:$B,2,0),1),Data!$L$23:$M$30,2,0),0)</f>
        <v>0</v>
      </c>
      <c r="P156">
        <f t="shared" si="30"/>
        <v>0</v>
      </c>
      <c r="Q156" s="7" t="b">
        <f t="shared" si="21"/>
        <v>0</v>
      </c>
      <c r="R156" s="27">
        <f>INCENTIVE!$E$8</f>
        <v>130000000</v>
      </c>
      <c r="S156">
        <f>'DL 1'!D157</f>
        <v>0</v>
      </c>
      <c r="T156" t="str">
        <f t="shared" si="22"/>
        <v>1</v>
      </c>
      <c r="V156" t="str">
        <f t="shared" si="23"/>
        <v>1</v>
      </c>
      <c r="W156">
        <f t="shared" si="24"/>
        <v>0.25</v>
      </c>
      <c r="X156" s="7">
        <f>'DL 1'!E157</f>
        <v>0</v>
      </c>
      <c r="Y156" s="69">
        <f>'DL 1'!G157</f>
        <v>0</v>
      </c>
      <c r="AC156" t="str">
        <f>IFERROR(VLOOKUP(Y156,Data!$G$65:$K$79,2,0) *X156,"")</f>
        <v/>
      </c>
      <c r="AD156" s="7">
        <f t="shared" si="25"/>
        <v>0</v>
      </c>
      <c r="AE156">
        <f>'DL 1'!F157</f>
        <v>0</v>
      </c>
      <c r="AF156" t="str">
        <f>IFERROR(VLOOKUP(Y156,Data!$G$65:$K$79,4,0),"")</f>
        <v/>
      </c>
      <c r="AG156" s="51" t="e">
        <f>#REF!</f>
        <v>#REF!</v>
      </c>
      <c r="AK156">
        <f t="shared" si="26"/>
        <v>0</v>
      </c>
      <c r="AL156">
        <f t="shared" si="27"/>
        <v>0</v>
      </c>
      <c r="AM156" s="70">
        <f t="shared" si="28"/>
        <v>0</v>
      </c>
      <c r="AN156" s="7" t="b">
        <f t="shared" si="29"/>
        <v>0</v>
      </c>
    </row>
    <row r="157" spans="1:40" x14ac:dyDescent="0.3">
      <c r="A157" s="50">
        <f>IF(D157="A",_xlfn.IFNA(INDEX(Data!$H$24:$J$28,MATCH('DL 1'!E158,Data!$G$24:$G$28,1),MATCH('DL 1'!D158,Data!$H$23:$J$23,1)),0),0)</f>
        <v>0</v>
      </c>
      <c r="B157">
        <f>IF('DL 1'!F158="Y",Q157,0)</f>
        <v>0</v>
      </c>
      <c r="C157" t="e">
        <f>_xlfn.IFNA(INDEX(Data!$H$24:$J$28,MATCH(#REF!,Data!$G$24:$G$28,1),MATCH(#REF!,Data!$H$23:$J$23,1)),0)</f>
        <v>#REF!</v>
      </c>
      <c r="D157" t="str">
        <f>RIGHT(TRIM('DL 1'!G158),1)</f>
        <v/>
      </c>
      <c r="E157" s="8">
        <f>'DL 1'!E158*'DL 1'!D158</f>
        <v>0</v>
      </c>
      <c r="F157" t="str">
        <f>_xlfn.IFNA(VLOOKUP(TRIM('DL 1'!G158),Data!$A:$C,3,0),"")</f>
        <v/>
      </c>
      <c r="G157" s="7">
        <f>'DL 1'!E158</f>
        <v>0</v>
      </c>
      <c r="H157" s="21">
        <f>_xlfn.IFNA(VLOOKUP(TRIM('DL 1'!G158),Data!$A:$D,4,0),0)</f>
        <v>0</v>
      </c>
      <c r="I157">
        <f>_xlfn.IFNA(INDEX(Data!$G$5:$K$10,MATCH('DL 1'!D158,Data!$F$5:$F$10,1),MATCH(_xlfn.SINGLE(#REF!),Data!$G$4:$K$4,1)),0)</f>
        <v>0</v>
      </c>
      <c r="J157">
        <f>_xlfn.IFNA(IF(VLOOKUP(TRIM('DL 1'!G158),Data!$A:$C,3,0)="ST1",H157*I157*G157,IF(VLOOKUP(TRIM('DL 1'!G158),Data!$A:$C,3,0)="IR0",H157*G157,MIN(H157:I157)*G157)),0)</f>
        <v>0</v>
      </c>
      <c r="K157" t="e">
        <f>_xlfn.IFNA(VLOOKUP(TRIM(#REF!),Data!$A:$D,4,0)*#REF!,0)</f>
        <v>#REF!</v>
      </c>
      <c r="L157">
        <f>IF(TRIM('DL 1'!G158)="EDCLNHT0IRNLI",20000,0)</f>
        <v>0</v>
      </c>
      <c r="M157">
        <f>IF(ISERROR(MATCH('DL 1'!A158,#REF!,0)),0,J157*2)</f>
        <v>0</v>
      </c>
      <c r="N157" t="e">
        <f>#REF!</f>
        <v>#REF!</v>
      </c>
      <c r="O157">
        <f>_xlfn.IFNA(VLOOKUP(RIGHT(VLOOKUP(TRIM('DL 1'!G158),Data!$A:$B,2,0),1),Data!$L$23:$M$30,2,0),0)</f>
        <v>0</v>
      </c>
      <c r="P157">
        <f t="shared" si="30"/>
        <v>0</v>
      </c>
      <c r="Q157" s="7" t="b">
        <f t="shared" si="21"/>
        <v>0</v>
      </c>
      <c r="R157" s="27">
        <f>INCENTIVE!$E$8</f>
        <v>130000000</v>
      </c>
      <c r="S157">
        <f>'DL 1'!D158</f>
        <v>0</v>
      </c>
      <c r="T157" t="str">
        <f t="shared" si="22"/>
        <v>1</v>
      </c>
      <c r="V157" t="str">
        <f t="shared" si="23"/>
        <v>1</v>
      </c>
      <c r="W157">
        <f t="shared" si="24"/>
        <v>0.25</v>
      </c>
      <c r="X157" s="7">
        <f>'DL 1'!E158</f>
        <v>0</v>
      </c>
      <c r="Y157" s="69">
        <f>'DL 1'!G158</f>
        <v>0</v>
      </c>
      <c r="AC157" t="str">
        <f>IFERROR(VLOOKUP(Y157,Data!$G$65:$K$79,2,0) *X157,"")</f>
        <v/>
      </c>
      <c r="AD157" s="7">
        <f t="shared" si="25"/>
        <v>0</v>
      </c>
      <c r="AE157">
        <f>'DL 1'!F158</f>
        <v>0</v>
      </c>
      <c r="AF157" t="str">
        <f>IFERROR(VLOOKUP(Y157,Data!$G$65:$K$79,4,0),"")</f>
        <v/>
      </c>
      <c r="AG157" s="51" t="e">
        <f>#REF!</f>
        <v>#REF!</v>
      </c>
      <c r="AK157">
        <f t="shared" si="26"/>
        <v>0</v>
      </c>
      <c r="AL157">
        <f t="shared" si="27"/>
        <v>0</v>
      </c>
      <c r="AM157" s="70">
        <f t="shared" si="28"/>
        <v>0</v>
      </c>
      <c r="AN157" s="7" t="b">
        <f t="shared" si="29"/>
        <v>0</v>
      </c>
    </row>
    <row r="158" spans="1:40" x14ac:dyDescent="0.3">
      <c r="A158" s="50">
        <f>IF(D158="A",_xlfn.IFNA(INDEX(Data!$H$24:$J$28,MATCH('DL 1'!E159,Data!$G$24:$G$28,1),MATCH('DL 1'!D159,Data!$H$23:$J$23,1)),0),0)</f>
        <v>0</v>
      </c>
      <c r="B158">
        <f>IF('DL 1'!F159="Y",Q158,0)</f>
        <v>0</v>
      </c>
      <c r="C158" t="e">
        <f>_xlfn.IFNA(INDEX(Data!$H$24:$J$28,MATCH(#REF!,Data!$G$24:$G$28,1),MATCH(#REF!,Data!$H$23:$J$23,1)),0)</f>
        <v>#REF!</v>
      </c>
      <c r="D158" t="str">
        <f>RIGHT(TRIM('DL 1'!G159),1)</f>
        <v/>
      </c>
      <c r="E158" s="8">
        <f>'DL 1'!E159*'DL 1'!D159</f>
        <v>0</v>
      </c>
      <c r="F158" t="str">
        <f>_xlfn.IFNA(VLOOKUP(TRIM('DL 1'!G159),Data!$A:$C,3,0),"")</f>
        <v/>
      </c>
      <c r="G158" s="7">
        <f>'DL 1'!E159</f>
        <v>0</v>
      </c>
      <c r="H158" s="21">
        <f>_xlfn.IFNA(VLOOKUP(TRIM('DL 1'!G159),Data!$A:$D,4,0),0)</f>
        <v>0</v>
      </c>
      <c r="I158">
        <f>_xlfn.IFNA(INDEX(Data!$G$5:$K$10,MATCH('DL 1'!D159,Data!$F$5:$F$10,1),MATCH(_xlfn.SINGLE(#REF!),Data!$G$4:$K$4,1)),0)</f>
        <v>0</v>
      </c>
      <c r="J158">
        <f>_xlfn.IFNA(IF(VLOOKUP(TRIM('DL 1'!G159),Data!$A:$C,3,0)="ST1",H158*I158*G158,IF(VLOOKUP(TRIM('DL 1'!G159),Data!$A:$C,3,0)="IR0",H158*G158,MIN(H158:I158)*G158)),0)</f>
        <v>0</v>
      </c>
      <c r="K158" t="e">
        <f>_xlfn.IFNA(VLOOKUP(TRIM(#REF!),Data!$A:$D,4,0)*#REF!,0)</f>
        <v>#REF!</v>
      </c>
      <c r="L158">
        <f>IF(TRIM('DL 1'!G159)="EDCLNHT0IRNLI",20000,0)</f>
        <v>0</v>
      </c>
      <c r="M158">
        <f>IF(ISERROR(MATCH('DL 1'!A159,#REF!,0)),0,J158*2)</f>
        <v>0</v>
      </c>
      <c r="N158" t="e">
        <f>#REF!</f>
        <v>#REF!</v>
      </c>
      <c r="O158">
        <f>_xlfn.IFNA(VLOOKUP(RIGHT(VLOOKUP(TRIM('DL 1'!G159),Data!$A:$B,2,0),1),Data!$L$23:$M$30,2,0),0)</f>
        <v>0</v>
      </c>
      <c r="P158">
        <f t="shared" si="30"/>
        <v>0</v>
      </c>
      <c r="Q158" s="7" t="b">
        <f t="shared" si="21"/>
        <v>0</v>
      </c>
      <c r="R158" s="27">
        <f>INCENTIVE!$E$8</f>
        <v>130000000</v>
      </c>
      <c r="S158">
        <f>'DL 1'!D159</f>
        <v>0</v>
      </c>
      <c r="T158" t="str">
        <f t="shared" si="22"/>
        <v>1</v>
      </c>
      <c r="V158" t="str">
        <f t="shared" si="23"/>
        <v>1</v>
      </c>
      <c r="W158">
        <f t="shared" si="24"/>
        <v>0.25</v>
      </c>
      <c r="X158" s="7">
        <f>'DL 1'!E159</f>
        <v>0</v>
      </c>
      <c r="Y158" s="69">
        <f>'DL 1'!G159</f>
        <v>0</v>
      </c>
      <c r="AC158" t="str">
        <f>IFERROR(VLOOKUP(Y158,Data!$G$65:$K$79,2,0) *X158,"")</f>
        <v/>
      </c>
      <c r="AD158" s="7">
        <f t="shared" si="25"/>
        <v>0</v>
      </c>
      <c r="AE158">
        <f>'DL 1'!F159</f>
        <v>0</v>
      </c>
      <c r="AF158" t="str">
        <f>IFERROR(VLOOKUP(Y158,Data!$G$65:$K$79,4,0),"")</f>
        <v/>
      </c>
      <c r="AG158" s="51" t="e">
        <f>#REF!</f>
        <v>#REF!</v>
      </c>
      <c r="AK158">
        <f t="shared" si="26"/>
        <v>0</v>
      </c>
      <c r="AL158">
        <f t="shared" si="27"/>
        <v>0</v>
      </c>
      <c r="AM158" s="70">
        <f t="shared" si="28"/>
        <v>0</v>
      </c>
      <c r="AN158" s="7" t="b">
        <f t="shared" si="29"/>
        <v>0</v>
      </c>
    </row>
    <row r="159" spans="1:40" x14ac:dyDescent="0.3">
      <c r="A159" s="50">
        <f>IF(D159="A",_xlfn.IFNA(INDEX(Data!$H$24:$J$28,MATCH('DL 1'!E160,Data!$G$24:$G$28,1),MATCH('DL 1'!D160,Data!$H$23:$J$23,1)),0),0)</f>
        <v>0</v>
      </c>
      <c r="B159">
        <f>IF('DL 1'!F160="Y",Q159,0)</f>
        <v>0</v>
      </c>
      <c r="C159" t="e">
        <f>_xlfn.IFNA(INDEX(Data!$H$24:$J$28,MATCH(#REF!,Data!$G$24:$G$28,1),MATCH(#REF!,Data!$H$23:$J$23,1)),0)</f>
        <v>#REF!</v>
      </c>
      <c r="D159" t="str">
        <f>RIGHT(TRIM('DL 1'!G160),1)</f>
        <v/>
      </c>
      <c r="E159" s="8">
        <f>'DL 1'!E160*'DL 1'!D160</f>
        <v>0</v>
      </c>
      <c r="F159" t="str">
        <f>_xlfn.IFNA(VLOOKUP(TRIM('DL 1'!G160),Data!$A:$C,3,0),"")</f>
        <v/>
      </c>
      <c r="G159" s="7">
        <f>'DL 1'!E160</f>
        <v>0</v>
      </c>
      <c r="H159" s="21">
        <f>_xlfn.IFNA(VLOOKUP(TRIM('DL 1'!G160),Data!$A:$D,4,0),0)</f>
        <v>0</v>
      </c>
      <c r="I159">
        <f>_xlfn.IFNA(INDEX(Data!$G$5:$K$10,MATCH('DL 1'!D160,Data!$F$5:$F$10,1),MATCH(_xlfn.SINGLE(#REF!),Data!$G$4:$K$4,1)),0)</f>
        <v>0</v>
      </c>
      <c r="J159">
        <f>_xlfn.IFNA(IF(VLOOKUP(TRIM('DL 1'!G160),Data!$A:$C,3,0)="ST1",H159*I159*G159,IF(VLOOKUP(TRIM('DL 1'!G160),Data!$A:$C,3,0)="IR0",H159*G159,MIN(H159:I159)*G159)),0)</f>
        <v>0</v>
      </c>
      <c r="K159" t="e">
        <f>_xlfn.IFNA(VLOOKUP(TRIM(#REF!),Data!$A:$D,4,0)*#REF!,0)</f>
        <v>#REF!</v>
      </c>
      <c r="L159">
        <f>IF(TRIM('DL 1'!G160)="EDCLNHT0IRNLI",20000,0)</f>
        <v>0</v>
      </c>
      <c r="M159">
        <f>IF(ISERROR(MATCH('DL 1'!A160,#REF!,0)),0,J159*2)</f>
        <v>0</v>
      </c>
      <c r="N159" t="e">
        <f>#REF!</f>
        <v>#REF!</v>
      </c>
      <c r="O159">
        <f>_xlfn.IFNA(VLOOKUP(RIGHT(VLOOKUP(TRIM('DL 1'!G160),Data!$A:$B,2,0),1),Data!$L$23:$M$30,2,0),0)</f>
        <v>0</v>
      </c>
      <c r="P159">
        <f t="shared" si="30"/>
        <v>0</v>
      </c>
      <c r="Q159" s="7" t="b">
        <f t="shared" si="21"/>
        <v>0</v>
      </c>
      <c r="R159" s="27">
        <f>INCENTIVE!$E$8</f>
        <v>130000000</v>
      </c>
      <c r="S159">
        <f>'DL 1'!D160</f>
        <v>0</v>
      </c>
      <c r="T159" t="str">
        <f t="shared" si="22"/>
        <v>1</v>
      </c>
      <c r="V159" t="str">
        <f t="shared" si="23"/>
        <v>1</v>
      </c>
      <c r="W159">
        <f t="shared" si="24"/>
        <v>0.25</v>
      </c>
      <c r="X159" s="7">
        <f>'DL 1'!E160</f>
        <v>0</v>
      </c>
      <c r="Y159" s="69">
        <f>'DL 1'!G160</f>
        <v>0</v>
      </c>
      <c r="AC159" t="str">
        <f>IFERROR(VLOOKUP(Y159,Data!$G$65:$K$79,2,0) *X159,"")</f>
        <v/>
      </c>
      <c r="AD159" s="7">
        <f t="shared" si="25"/>
        <v>0</v>
      </c>
      <c r="AE159">
        <f>'DL 1'!F160</f>
        <v>0</v>
      </c>
      <c r="AF159" t="str">
        <f>IFERROR(VLOOKUP(Y159,Data!$G$65:$K$79,4,0),"")</f>
        <v/>
      </c>
      <c r="AG159" s="51" t="e">
        <f>#REF!</f>
        <v>#REF!</v>
      </c>
      <c r="AK159">
        <f t="shared" si="26"/>
        <v>0</v>
      </c>
      <c r="AL159">
        <f t="shared" si="27"/>
        <v>0</v>
      </c>
      <c r="AM159" s="70">
        <f t="shared" si="28"/>
        <v>0</v>
      </c>
      <c r="AN159" s="7" t="b">
        <f t="shared" si="29"/>
        <v>0</v>
      </c>
    </row>
    <row r="160" spans="1:40" x14ac:dyDescent="0.3">
      <c r="A160" s="50">
        <f>IF(D160="A",_xlfn.IFNA(INDEX(Data!$H$24:$J$28,MATCH('DL 1'!E161,Data!$G$24:$G$28,1),MATCH('DL 1'!D161,Data!$H$23:$J$23,1)),0),0)</f>
        <v>0</v>
      </c>
      <c r="B160">
        <f>IF('DL 1'!F161="Y",Q160,0)</f>
        <v>0</v>
      </c>
      <c r="C160" t="e">
        <f>_xlfn.IFNA(INDEX(Data!$H$24:$J$28,MATCH(#REF!,Data!$G$24:$G$28,1),MATCH(#REF!,Data!$H$23:$J$23,1)),0)</f>
        <v>#REF!</v>
      </c>
      <c r="D160" t="str">
        <f>RIGHT(TRIM('DL 1'!G161),1)</f>
        <v/>
      </c>
      <c r="E160" s="8">
        <f>'DL 1'!E161*'DL 1'!D161</f>
        <v>0</v>
      </c>
      <c r="F160" t="str">
        <f>_xlfn.IFNA(VLOOKUP(TRIM('DL 1'!G161),Data!$A:$C,3,0),"")</f>
        <v/>
      </c>
      <c r="G160" s="7">
        <f>'DL 1'!E161</f>
        <v>0</v>
      </c>
      <c r="H160" s="21">
        <f>_xlfn.IFNA(VLOOKUP(TRIM('DL 1'!G161),Data!$A:$D,4,0),0)</f>
        <v>0</v>
      </c>
      <c r="I160">
        <f>_xlfn.IFNA(INDEX(Data!$G$5:$K$10,MATCH('DL 1'!D161,Data!$F$5:$F$10,1),MATCH(_xlfn.SINGLE(#REF!),Data!$G$4:$K$4,1)),0)</f>
        <v>0</v>
      </c>
      <c r="J160">
        <f>_xlfn.IFNA(IF(VLOOKUP(TRIM('DL 1'!G161),Data!$A:$C,3,0)="ST1",H160*I160*G160,IF(VLOOKUP(TRIM('DL 1'!G161),Data!$A:$C,3,0)="IR0",H160*G160,MIN(H160:I160)*G160)),0)</f>
        <v>0</v>
      </c>
      <c r="K160" t="e">
        <f>_xlfn.IFNA(VLOOKUP(TRIM(#REF!),Data!$A:$D,4,0)*#REF!,0)</f>
        <v>#REF!</v>
      </c>
      <c r="L160">
        <f>IF(TRIM('DL 1'!G161)="EDCLNHT0IRNLI",20000,0)</f>
        <v>0</v>
      </c>
      <c r="M160">
        <f>IF(ISERROR(MATCH('DL 1'!A161,#REF!,0)),0,J160*2)</f>
        <v>0</v>
      </c>
      <c r="N160" t="e">
        <f>#REF!</f>
        <v>#REF!</v>
      </c>
      <c r="O160">
        <f>_xlfn.IFNA(VLOOKUP(RIGHT(VLOOKUP(TRIM('DL 1'!G161),Data!$A:$B,2,0),1),Data!$L$23:$M$30,2,0),0)</f>
        <v>0</v>
      </c>
      <c r="P160">
        <f t="shared" si="30"/>
        <v>0</v>
      </c>
      <c r="Q160" s="7" t="b">
        <f t="shared" si="21"/>
        <v>0</v>
      </c>
      <c r="R160" s="27">
        <f>INCENTIVE!$E$8</f>
        <v>130000000</v>
      </c>
      <c r="S160">
        <f>'DL 1'!D161</f>
        <v>0</v>
      </c>
      <c r="T160" t="str">
        <f t="shared" si="22"/>
        <v>1</v>
      </c>
      <c r="V160" t="str">
        <f t="shared" si="23"/>
        <v>1</v>
      </c>
      <c r="W160">
        <f t="shared" si="24"/>
        <v>0.25</v>
      </c>
      <c r="X160" s="7">
        <f>'DL 1'!E161</f>
        <v>0</v>
      </c>
      <c r="Y160" s="69">
        <f>'DL 1'!G161</f>
        <v>0</v>
      </c>
      <c r="AC160" t="str">
        <f>IFERROR(VLOOKUP(Y160,Data!$G$65:$K$79,2,0) *X160,"")</f>
        <v/>
      </c>
      <c r="AD160" s="7">
        <f t="shared" si="25"/>
        <v>0</v>
      </c>
      <c r="AE160">
        <f>'DL 1'!F161</f>
        <v>0</v>
      </c>
      <c r="AF160" t="str">
        <f>IFERROR(VLOOKUP(Y160,Data!$G$65:$K$79,4,0),"")</f>
        <v/>
      </c>
      <c r="AG160" s="51" t="e">
        <f>#REF!</f>
        <v>#REF!</v>
      </c>
      <c r="AK160">
        <f t="shared" si="26"/>
        <v>0</v>
      </c>
      <c r="AL160">
        <f t="shared" si="27"/>
        <v>0</v>
      </c>
      <c r="AM160" s="70">
        <f t="shared" si="28"/>
        <v>0</v>
      </c>
      <c r="AN160" s="7" t="b">
        <f t="shared" si="29"/>
        <v>0</v>
      </c>
    </row>
    <row r="161" spans="1:40" x14ac:dyDescent="0.3">
      <c r="A161" s="50">
        <f>IF(D161="A",_xlfn.IFNA(INDEX(Data!$H$24:$J$28,MATCH('DL 1'!E162,Data!$G$24:$G$28,1),MATCH('DL 1'!D162,Data!$H$23:$J$23,1)),0),0)</f>
        <v>0</v>
      </c>
      <c r="B161">
        <f>IF('DL 1'!F162="Y",Q161,0)</f>
        <v>0</v>
      </c>
      <c r="C161" t="e">
        <f>_xlfn.IFNA(INDEX(Data!$H$24:$J$28,MATCH(#REF!,Data!$G$24:$G$28,1),MATCH(#REF!,Data!$H$23:$J$23,1)),0)</f>
        <v>#REF!</v>
      </c>
      <c r="D161" t="str">
        <f>RIGHT(TRIM('DL 1'!G162),1)</f>
        <v/>
      </c>
      <c r="E161" s="8">
        <f>'DL 1'!E162*'DL 1'!D162</f>
        <v>0</v>
      </c>
      <c r="F161" t="str">
        <f>_xlfn.IFNA(VLOOKUP(TRIM('DL 1'!G162),Data!$A:$C,3,0),"")</f>
        <v/>
      </c>
      <c r="G161" s="7">
        <f>'DL 1'!E162</f>
        <v>0</v>
      </c>
      <c r="H161" s="21">
        <f>_xlfn.IFNA(VLOOKUP(TRIM('DL 1'!G162),Data!$A:$D,4,0),0)</f>
        <v>0</v>
      </c>
      <c r="I161">
        <f>_xlfn.IFNA(INDEX(Data!$G$5:$K$10,MATCH('DL 1'!D162,Data!$F$5:$F$10,1),MATCH(_xlfn.SINGLE(#REF!),Data!$G$4:$K$4,1)),0)</f>
        <v>0</v>
      </c>
      <c r="J161">
        <f>_xlfn.IFNA(IF(VLOOKUP(TRIM('DL 1'!G162),Data!$A:$C,3,0)="ST1",H161*I161*G161,IF(VLOOKUP(TRIM('DL 1'!G162),Data!$A:$C,3,0)="IR0",H161*G161,MIN(H161:I161)*G161)),0)</f>
        <v>0</v>
      </c>
      <c r="K161" t="e">
        <f>_xlfn.IFNA(VLOOKUP(TRIM(#REF!),Data!$A:$D,4,0)*#REF!,0)</f>
        <v>#REF!</v>
      </c>
      <c r="L161">
        <f>IF(TRIM('DL 1'!G162)="EDCLNHT0IRNLI",20000,0)</f>
        <v>0</v>
      </c>
      <c r="M161">
        <f>IF(ISERROR(MATCH('DL 1'!A162,#REF!,0)),0,J161*2)</f>
        <v>0</v>
      </c>
      <c r="N161" t="e">
        <f>#REF!</f>
        <v>#REF!</v>
      </c>
      <c r="O161">
        <f>_xlfn.IFNA(VLOOKUP(RIGHT(VLOOKUP(TRIM('DL 1'!G162),Data!$A:$B,2,0),1),Data!$L$23:$M$30,2,0),0)</f>
        <v>0</v>
      </c>
      <c r="P161">
        <f t="shared" si="30"/>
        <v>0</v>
      </c>
      <c r="Q161" s="7" t="b">
        <f t="shared" si="21"/>
        <v>0</v>
      </c>
      <c r="R161" s="27">
        <f>INCENTIVE!$E$8</f>
        <v>130000000</v>
      </c>
      <c r="S161">
        <f>'DL 1'!D162</f>
        <v>0</v>
      </c>
      <c r="T161" t="str">
        <f t="shared" si="22"/>
        <v>1</v>
      </c>
      <c r="V161" t="str">
        <f t="shared" si="23"/>
        <v>1</v>
      </c>
      <c r="W161">
        <f t="shared" si="24"/>
        <v>0.25</v>
      </c>
      <c r="X161" s="7">
        <f>'DL 1'!E162</f>
        <v>0</v>
      </c>
      <c r="Y161" s="69">
        <f>'DL 1'!G162</f>
        <v>0</v>
      </c>
      <c r="AC161" t="str">
        <f>IFERROR(VLOOKUP(Y161,Data!$G$65:$K$79,2,0) *X161,"")</f>
        <v/>
      </c>
      <c r="AD161" s="7">
        <f t="shared" si="25"/>
        <v>0</v>
      </c>
      <c r="AE161">
        <f>'DL 1'!F162</f>
        <v>0</v>
      </c>
      <c r="AF161" t="str">
        <f>IFERROR(VLOOKUP(Y161,Data!$G$65:$K$79,4,0),"")</f>
        <v/>
      </c>
      <c r="AG161" s="51" t="e">
        <f>#REF!</f>
        <v>#REF!</v>
      </c>
      <c r="AK161">
        <f t="shared" si="26"/>
        <v>0</v>
      </c>
      <c r="AL161">
        <f t="shared" si="27"/>
        <v>0</v>
      </c>
      <c r="AM161" s="70">
        <f t="shared" si="28"/>
        <v>0</v>
      </c>
      <c r="AN161" s="7" t="b">
        <f t="shared" si="29"/>
        <v>0</v>
      </c>
    </row>
    <row r="162" spans="1:40" x14ac:dyDescent="0.3">
      <c r="A162" s="50">
        <f>IF(D162="A",_xlfn.IFNA(INDEX(Data!$H$24:$J$28,MATCH('DL 1'!E163,Data!$G$24:$G$28,1),MATCH('DL 1'!D163,Data!$H$23:$J$23,1)),0),0)</f>
        <v>0</v>
      </c>
      <c r="B162">
        <f>IF('DL 1'!F163="Y",Q162,0)</f>
        <v>0</v>
      </c>
      <c r="C162" t="e">
        <f>_xlfn.IFNA(INDEX(Data!$H$24:$J$28,MATCH(#REF!,Data!$G$24:$G$28,1),MATCH(#REF!,Data!$H$23:$J$23,1)),0)</f>
        <v>#REF!</v>
      </c>
      <c r="D162" t="str">
        <f>RIGHT(TRIM('DL 1'!G163),1)</f>
        <v/>
      </c>
      <c r="E162" s="8">
        <f>'DL 1'!E163*'DL 1'!D163</f>
        <v>0</v>
      </c>
      <c r="F162" t="str">
        <f>_xlfn.IFNA(VLOOKUP(TRIM('DL 1'!G163),Data!$A:$C,3,0),"")</f>
        <v/>
      </c>
      <c r="G162" s="7">
        <f>'DL 1'!E163</f>
        <v>0</v>
      </c>
      <c r="H162" s="21">
        <f>_xlfn.IFNA(VLOOKUP(TRIM('DL 1'!G163),Data!$A:$D,4,0),0)</f>
        <v>0</v>
      </c>
      <c r="I162">
        <f>_xlfn.IFNA(INDEX(Data!$G$5:$K$10,MATCH('DL 1'!D163,Data!$F$5:$F$10,1),MATCH(_xlfn.SINGLE(#REF!),Data!$G$4:$K$4,1)),0)</f>
        <v>0</v>
      </c>
      <c r="J162">
        <f>_xlfn.IFNA(IF(VLOOKUP(TRIM('DL 1'!G163),Data!$A:$C,3,0)="ST1",H162*I162*G162,IF(VLOOKUP(TRIM('DL 1'!G163),Data!$A:$C,3,0)="IR0",H162*G162,MIN(H162:I162)*G162)),0)</f>
        <v>0</v>
      </c>
      <c r="K162" t="e">
        <f>_xlfn.IFNA(VLOOKUP(TRIM(#REF!),Data!$A:$D,4,0)*#REF!,0)</f>
        <v>#REF!</v>
      </c>
      <c r="L162">
        <f>IF(TRIM('DL 1'!G163)="EDCLNHT0IRNLI",20000,0)</f>
        <v>0</v>
      </c>
      <c r="M162">
        <f>IF(ISERROR(MATCH('DL 1'!A163,#REF!,0)),0,J162*2)</f>
        <v>0</v>
      </c>
      <c r="N162" t="e">
        <f>#REF!</f>
        <v>#REF!</v>
      </c>
      <c r="O162">
        <f>_xlfn.IFNA(VLOOKUP(RIGHT(VLOOKUP(TRIM('DL 1'!G163),Data!$A:$B,2,0),1),Data!$L$23:$M$30,2,0),0)</f>
        <v>0</v>
      </c>
      <c r="P162">
        <f t="shared" si="30"/>
        <v>0</v>
      </c>
      <c r="Q162" s="7" t="b">
        <f t="shared" si="21"/>
        <v>0</v>
      </c>
      <c r="R162" s="27">
        <f>INCENTIVE!$E$8</f>
        <v>130000000</v>
      </c>
      <c r="S162">
        <f>'DL 1'!D163</f>
        <v>0</v>
      </c>
      <c r="T162" t="str">
        <f t="shared" si="22"/>
        <v>1</v>
      </c>
      <c r="V162" t="str">
        <f t="shared" si="23"/>
        <v>1</v>
      </c>
      <c r="W162">
        <f t="shared" si="24"/>
        <v>0.25</v>
      </c>
      <c r="X162" s="7">
        <f>'DL 1'!E163</f>
        <v>0</v>
      </c>
      <c r="Y162" s="69">
        <f>'DL 1'!G163</f>
        <v>0</v>
      </c>
      <c r="AC162" t="str">
        <f>IFERROR(VLOOKUP(Y162,Data!$G$65:$K$79,2,0) *X162,"")</f>
        <v/>
      </c>
      <c r="AD162" s="7">
        <f t="shared" si="25"/>
        <v>0</v>
      </c>
      <c r="AE162">
        <f>'DL 1'!F163</f>
        <v>0</v>
      </c>
      <c r="AF162" t="str">
        <f>IFERROR(VLOOKUP(Y162,Data!$G$65:$K$79,4,0),"")</f>
        <v/>
      </c>
      <c r="AG162" s="51" t="e">
        <f>#REF!</f>
        <v>#REF!</v>
      </c>
      <c r="AK162">
        <f t="shared" si="26"/>
        <v>0</v>
      </c>
      <c r="AL162">
        <f t="shared" si="27"/>
        <v>0</v>
      </c>
      <c r="AM162" s="70">
        <f t="shared" si="28"/>
        <v>0</v>
      </c>
      <c r="AN162" s="7" t="b">
        <f t="shared" si="29"/>
        <v>0</v>
      </c>
    </row>
    <row r="163" spans="1:40" x14ac:dyDescent="0.3">
      <c r="A163" s="50">
        <f>IF(D163="A",_xlfn.IFNA(INDEX(Data!$H$24:$J$28,MATCH('DL 1'!E164,Data!$G$24:$G$28,1),MATCH('DL 1'!D164,Data!$H$23:$J$23,1)),0),0)</f>
        <v>0</v>
      </c>
      <c r="B163">
        <f>IF('DL 1'!F164="Y",Q163,0)</f>
        <v>0</v>
      </c>
      <c r="C163" t="e">
        <f>_xlfn.IFNA(INDEX(Data!$H$24:$J$28,MATCH(#REF!,Data!$G$24:$G$28,1),MATCH(#REF!,Data!$H$23:$J$23,1)),0)</f>
        <v>#REF!</v>
      </c>
      <c r="D163" t="str">
        <f>RIGHT(TRIM('DL 1'!G164),1)</f>
        <v/>
      </c>
      <c r="E163" s="8">
        <f>'DL 1'!E164*'DL 1'!D164</f>
        <v>0</v>
      </c>
      <c r="F163" t="str">
        <f>_xlfn.IFNA(VLOOKUP(TRIM('DL 1'!G164),Data!$A:$C,3,0),"")</f>
        <v/>
      </c>
      <c r="G163" s="7">
        <f>'DL 1'!E164</f>
        <v>0</v>
      </c>
      <c r="H163" s="21">
        <f>_xlfn.IFNA(VLOOKUP(TRIM('DL 1'!G164),Data!$A:$D,4,0),0)</f>
        <v>0</v>
      </c>
      <c r="I163">
        <f>_xlfn.IFNA(INDEX(Data!$G$5:$K$10,MATCH('DL 1'!D164,Data!$F$5:$F$10,1),MATCH(_xlfn.SINGLE(#REF!),Data!$G$4:$K$4,1)),0)</f>
        <v>0</v>
      </c>
      <c r="J163">
        <f>_xlfn.IFNA(IF(VLOOKUP(TRIM('DL 1'!G164),Data!$A:$C,3,0)="ST1",H163*I163*G163,IF(VLOOKUP(TRIM('DL 1'!G164),Data!$A:$C,3,0)="IR0",H163*G163,MIN(H163:I163)*G163)),0)</f>
        <v>0</v>
      </c>
      <c r="K163" t="e">
        <f>_xlfn.IFNA(VLOOKUP(TRIM(#REF!),Data!$A:$D,4,0)*#REF!,0)</f>
        <v>#REF!</v>
      </c>
      <c r="L163">
        <f>IF(TRIM('DL 1'!G164)="EDCLNHT0IRNLI",20000,0)</f>
        <v>0</v>
      </c>
      <c r="M163">
        <f>IF(ISERROR(MATCH('DL 1'!A164,#REF!,0)),0,J163*2)</f>
        <v>0</v>
      </c>
      <c r="N163" t="e">
        <f>#REF!</f>
        <v>#REF!</v>
      </c>
      <c r="O163">
        <f>_xlfn.IFNA(VLOOKUP(RIGHT(VLOOKUP(TRIM('DL 1'!G164),Data!$A:$B,2,0),1),Data!$L$23:$M$30,2,0),0)</f>
        <v>0</v>
      </c>
      <c r="P163">
        <f t="shared" si="30"/>
        <v>0</v>
      </c>
      <c r="Q163" s="7" t="b">
        <f t="shared" si="21"/>
        <v>0</v>
      </c>
      <c r="R163" s="27">
        <f>INCENTIVE!$E$8</f>
        <v>130000000</v>
      </c>
      <c r="S163">
        <f>'DL 1'!D164</f>
        <v>0</v>
      </c>
      <c r="T163" t="str">
        <f t="shared" si="22"/>
        <v>1</v>
      </c>
      <c r="V163" t="str">
        <f t="shared" si="23"/>
        <v>1</v>
      </c>
      <c r="W163">
        <f t="shared" si="24"/>
        <v>0.25</v>
      </c>
      <c r="X163" s="7">
        <f>'DL 1'!E164</f>
        <v>0</v>
      </c>
      <c r="Y163" s="69">
        <f>'DL 1'!G164</f>
        <v>0</v>
      </c>
      <c r="AC163" t="str">
        <f>IFERROR(VLOOKUP(Y163,Data!$G$65:$K$79,2,0) *X163,"")</f>
        <v/>
      </c>
      <c r="AD163" s="7">
        <f t="shared" si="25"/>
        <v>0</v>
      </c>
      <c r="AE163">
        <f>'DL 1'!F164</f>
        <v>0</v>
      </c>
      <c r="AF163" t="str">
        <f>IFERROR(VLOOKUP(Y163,Data!$G$65:$K$79,4,0),"")</f>
        <v/>
      </c>
      <c r="AG163" s="51" t="e">
        <f>#REF!</f>
        <v>#REF!</v>
      </c>
      <c r="AK163">
        <f t="shared" si="26"/>
        <v>0</v>
      </c>
      <c r="AL163">
        <f t="shared" si="27"/>
        <v>0</v>
      </c>
      <c r="AM163" s="70">
        <f t="shared" si="28"/>
        <v>0</v>
      </c>
      <c r="AN163" s="7" t="b">
        <f t="shared" si="29"/>
        <v>0</v>
      </c>
    </row>
    <row r="164" spans="1:40" x14ac:dyDescent="0.3">
      <c r="A164" s="50">
        <f>IF(D164="A",_xlfn.IFNA(INDEX(Data!$H$24:$J$28,MATCH('DL 1'!E165,Data!$G$24:$G$28,1),MATCH('DL 1'!D165,Data!$H$23:$J$23,1)),0),0)</f>
        <v>0</v>
      </c>
      <c r="B164">
        <f>IF('DL 1'!F165="Y",Q164,0)</f>
        <v>0</v>
      </c>
      <c r="C164" t="e">
        <f>_xlfn.IFNA(INDEX(Data!$H$24:$J$28,MATCH(#REF!,Data!$G$24:$G$28,1),MATCH(#REF!,Data!$H$23:$J$23,1)),0)</f>
        <v>#REF!</v>
      </c>
      <c r="D164" t="str">
        <f>RIGHT(TRIM('DL 1'!G165),1)</f>
        <v/>
      </c>
      <c r="E164" s="8">
        <f>'DL 1'!E165*'DL 1'!D165</f>
        <v>0</v>
      </c>
      <c r="F164" t="str">
        <f>_xlfn.IFNA(VLOOKUP(TRIM('DL 1'!G165),Data!$A:$C,3,0),"")</f>
        <v/>
      </c>
      <c r="G164" s="7">
        <f>'DL 1'!E165</f>
        <v>0</v>
      </c>
      <c r="H164" s="21">
        <f>_xlfn.IFNA(VLOOKUP(TRIM('DL 1'!G165),Data!$A:$D,4,0),0)</f>
        <v>0</v>
      </c>
      <c r="I164">
        <f>_xlfn.IFNA(INDEX(Data!$G$5:$K$10,MATCH('DL 1'!D165,Data!$F$5:$F$10,1),MATCH(_xlfn.SINGLE(#REF!),Data!$G$4:$K$4,1)),0)</f>
        <v>0</v>
      </c>
      <c r="J164">
        <f>_xlfn.IFNA(IF(VLOOKUP(TRIM('DL 1'!G165),Data!$A:$C,3,0)="ST1",H164*I164*G164,IF(VLOOKUP(TRIM('DL 1'!G165),Data!$A:$C,3,0)="IR0",H164*G164,MIN(H164:I164)*G164)),0)</f>
        <v>0</v>
      </c>
      <c r="K164" t="e">
        <f>_xlfn.IFNA(VLOOKUP(TRIM(#REF!),Data!$A:$D,4,0)*#REF!,0)</f>
        <v>#REF!</v>
      </c>
      <c r="L164">
        <f>IF(TRIM('DL 1'!G165)="EDCLNHT0IRNLI",20000,0)</f>
        <v>0</v>
      </c>
      <c r="M164">
        <f>IF(ISERROR(MATCH('DL 1'!A165,#REF!,0)),0,J164*2)</f>
        <v>0</v>
      </c>
      <c r="N164" t="e">
        <f>#REF!</f>
        <v>#REF!</v>
      </c>
      <c r="O164">
        <f>_xlfn.IFNA(VLOOKUP(RIGHT(VLOOKUP(TRIM('DL 1'!G165),Data!$A:$B,2,0),1),Data!$L$23:$M$30,2,0),0)</f>
        <v>0</v>
      </c>
      <c r="P164">
        <f t="shared" si="30"/>
        <v>0</v>
      </c>
      <c r="Q164" s="7" t="b">
        <f t="shared" si="21"/>
        <v>0</v>
      </c>
      <c r="R164" s="27">
        <f>INCENTIVE!$E$8</f>
        <v>130000000</v>
      </c>
      <c r="S164">
        <f>'DL 1'!D165</f>
        <v>0</v>
      </c>
      <c r="T164" t="str">
        <f t="shared" si="22"/>
        <v>1</v>
      </c>
      <c r="V164" t="str">
        <f t="shared" si="23"/>
        <v>1</v>
      </c>
      <c r="W164">
        <f t="shared" si="24"/>
        <v>0.25</v>
      </c>
      <c r="X164" s="7">
        <f>'DL 1'!E165</f>
        <v>0</v>
      </c>
      <c r="Y164" s="69">
        <f>'DL 1'!G165</f>
        <v>0</v>
      </c>
      <c r="AC164" t="str">
        <f>IFERROR(VLOOKUP(Y164,Data!$G$65:$K$79,2,0) *X164,"")</f>
        <v/>
      </c>
      <c r="AD164" s="7">
        <f t="shared" si="25"/>
        <v>0</v>
      </c>
      <c r="AE164">
        <f>'DL 1'!F165</f>
        <v>0</v>
      </c>
      <c r="AF164" t="str">
        <f>IFERROR(VLOOKUP(Y164,Data!$G$65:$K$79,4,0),"")</f>
        <v/>
      </c>
      <c r="AG164" s="51" t="e">
        <f>#REF!</f>
        <v>#REF!</v>
      </c>
      <c r="AK164">
        <f t="shared" si="26"/>
        <v>0</v>
      </c>
      <c r="AL164">
        <f t="shared" si="27"/>
        <v>0</v>
      </c>
      <c r="AM164" s="70">
        <f t="shared" si="28"/>
        <v>0</v>
      </c>
      <c r="AN164" s="7" t="b">
        <f t="shared" si="29"/>
        <v>0</v>
      </c>
    </row>
    <row r="165" spans="1:40" x14ac:dyDescent="0.3">
      <c r="A165" s="50">
        <f>IF(D165="A",_xlfn.IFNA(INDEX(Data!$H$24:$J$28,MATCH('DL 1'!E166,Data!$G$24:$G$28,1),MATCH('DL 1'!D166,Data!$H$23:$J$23,1)),0),0)</f>
        <v>0</v>
      </c>
      <c r="B165">
        <f>IF('DL 1'!F166="Y",Q165,0)</f>
        <v>0</v>
      </c>
      <c r="C165" t="e">
        <f>_xlfn.IFNA(INDEX(Data!$H$24:$J$28,MATCH(#REF!,Data!$G$24:$G$28,1),MATCH(#REF!,Data!$H$23:$J$23,1)),0)</f>
        <v>#REF!</v>
      </c>
      <c r="D165" t="str">
        <f>RIGHT(TRIM('DL 1'!G166),1)</f>
        <v/>
      </c>
      <c r="E165" s="8">
        <f>'DL 1'!E166*'DL 1'!D166</f>
        <v>0</v>
      </c>
      <c r="F165" t="str">
        <f>_xlfn.IFNA(VLOOKUP(TRIM('DL 1'!G166),Data!$A:$C,3,0),"")</f>
        <v/>
      </c>
      <c r="G165" s="7">
        <f>'DL 1'!E166</f>
        <v>0</v>
      </c>
      <c r="H165" s="21">
        <f>_xlfn.IFNA(VLOOKUP(TRIM('DL 1'!G166),Data!$A:$D,4,0),0)</f>
        <v>0</v>
      </c>
      <c r="I165">
        <f>_xlfn.IFNA(INDEX(Data!$G$5:$K$10,MATCH('DL 1'!D166,Data!$F$5:$F$10,1),MATCH(_xlfn.SINGLE(#REF!),Data!$G$4:$K$4,1)),0)</f>
        <v>0</v>
      </c>
      <c r="J165">
        <f>_xlfn.IFNA(IF(VLOOKUP(TRIM('DL 1'!G166),Data!$A:$C,3,0)="ST1",H165*I165*G165,IF(VLOOKUP(TRIM('DL 1'!G166),Data!$A:$C,3,0)="IR0",H165*G165,MIN(H165:I165)*G165)),0)</f>
        <v>0</v>
      </c>
      <c r="K165" t="e">
        <f>_xlfn.IFNA(VLOOKUP(TRIM(#REF!),Data!$A:$D,4,0)*#REF!,0)</f>
        <v>#REF!</v>
      </c>
      <c r="L165">
        <f>IF(TRIM('DL 1'!G166)="EDCLNHT0IRNLI",20000,0)</f>
        <v>0</v>
      </c>
      <c r="M165">
        <f>IF(ISERROR(MATCH('DL 1'!A166,#REF!,0)),0,J165*2)</f>
        <v>0</v>
      </c>
      <c r="N165" t="e">
        <f>#REF!</f>
        <v>#REF!</v>
      </c>
      <c r="O165">
        <f>_xlfn.IFNA(VLOOKUP(RIGHT(VLOOKUP(TRIM('DL 1'!G166),Data!$A:$B,2,0),1),Data!$L$23:$M$30,2,0),0)</f>
        <v>0</v>
      </c>
      <c r="P165">
        <f t="shared" si="30"/>
        <v>0</v>
      </c>
      <c r="Q165" s="7" t="b">
        <f t="shared" si="21"/>
        <v>0</v>
      </c>
      <c r="R165" s="27">
        <f>INCENTIVE!$E$8</f>
        <v>130000000</v>
      </c>
      <c r="S165">
        <f>'DL 1'!D166</f>
        <v>0</v>
      </c>
      <c r="T165" t="str">
        <f t="shared" si="22"/>
        <v>1</v>
      </c>
      <c r="V165" t="str">
        <f t="shared" si="23"/>
        <v>1</v>
      </c>
      <c r="W165">
        <f t="shared" si="24"/>
        <v>0.25</v>
      </c>
      <c r="X165" s="7">
        <f>'DL 1'!E166</f>
        <v>0</v>
      </c>
      <c r="Y165" s="69">
        <f>'DL 1'!G166</f>
        <v>0</v>
      </c>
      <c r="AC165" t="str">
        <f>IFERROR(VLOOKUP(Y165,Data!$G$65:$K$79,2,0) *X165,"")</f>
        <v/>
      </c>
      <c r="AD165" s="7">
        <f t="shared" si="25"/>
        <v>0</v>
      </c>
      <c r="AE165">
        <f>'DL 1'!F166</f>
        <v>0</v>
      </c>
      <c r="AF165" t="str">
        <f>IFERROR(VLOOKUP(Y165,Data!$G$65:$K$79,4,0),"")</f>
        <v/>
      </c>
      <c r="AG165" s="51" t="e">
        <f>#REF!</f>
        <v>#REF!</v>
      </c>
      <c r="AK165">
        <f t="shared" si="26"/>
        <v>0</v>
      </c>
      <c r="AL165">
        <f t="shared" si="27"/>
        <v>0</v>
      </c>
      <c r="AM165" s="70">
        <f t="shared" si="28"/>
        <v>0</v>
      </c>
      <c r="AN165" s="7" t="b">
        <f t="shared" si="29"/>
        <v>0</v>
      </c>
    </row>
    <row r="166" spans="1:40" x14ac:dyDescent="0.3">
      <c r="A166" s="50">
        <f>IF(D166="A",_xlfn.IFNA(INDEX(Data!$H$24:$J$28,MATCH('DL 1'!E167,Data!$G$24:$G$28,1),MATCH('DL 1'!D167,Data!$H$23:$J$23,1)),0),0)</f>
        <v>0</v>
      </c>
      <c r="B166">
        <f>IF('DL 1'!F167="Y",Q166,0)</f>
        <v>0</v>
      </c>
      <c r="C166" t="e">
        <f>_xlfn.IFNA(INDEX(Data!$H$24:$J$28,MATCH(#REF!,Data!$G$24:$G$28,1),MATCH(#REF!,Data!$H$23:$J$23,1)),0)</f>
        <v>#REF!</v>
      </c>
      <c r="D166" t="str">
        <f>RIGHT(TRIM('DL 1'!G167),1)</f>
        <v/>
      </c>
      <c r="E166" s="8">
        <f>'DL 1'!E167*'DL 1'!D167</f>
        <v>0</v>
      </c>
      <c r="F166" t="str">
        <f>_xlfn.IFNA(VLOOKUP(TRIM('DL 1'!G167),Data!$A:$C,3,0),"")</f>
        <v/>
      </c>
      <c r="G166" s="7">
        <f>'DL 1'!E167</f>
        <v>0</v>
      </c>
      <c r="H166" s="21">
        <f>_xlfn.IFNA(VLOOKUP(TRIM('DL 1'!G167),Data!$A:$D,4,0),0)</f>
        <v>0</v>
      </c>
      <c r="I166">
        <f>_xlfn.IFNA(INDEX(Data!$G$5:$K$10,MATCH('DL 1'!D167,Data!$F$5:$F$10,1),MATCH(_xlfn.SINGLE(#REF!),Data!$G$4:$K$4,1)),0)</f>
        <v>0</v>
      </c>
      <c r="J166">
        <f>_xlfn.IFNA(IF(VLOOKUP(TRIM('DL 1'!G167),Data!$A:$C,3,0)="ST1",H166*I166*G166,IF(VLOOKUP(TRIM('DL 1'!G167),Data!$A:$C,3,0)="IR0",H166*G166,MIN(H166:I166)*G166)),0)</f>
        <v>0</v>
      </c>
      <c r="K166" t="e">
        <f>_xlfn.IFNA(VLOOKUP(TRIM(#REF!),Data!$A:$D,4,0)*#REF!,0)</f>
        <v>#REF!</v>
      </c>
      <c r="L166">
        <f>IF(TRIM('DL 1'!G167)="EDCLNHT0IRNLI",20000,0)</f>
        <v>0</v>
      </c>
      <c r="M166">
        <f>IF(ISERROR(MATCH('DL 1'!A167,#REF!,0)),0,J166*2)</f>
        <v>0</v>
      </c>
      <c r="N166" t="e">
        <f>#REF!</f>
        <v>#REF!</v>
      </c>
      <c r="O166">
        <f>_xlfn.IFNA(VLOOKUP(RIGHT(VLOOKUP(TRIM('DL 1'!G167),Data!$A:$B,2,0),1),Data!$L$23:$M$30,2,0),0)</f>
        <v>0</v>
      </c>
      <c r="P166">
        <f t="shared" si="30"/>
        <v>0</v>
      </c>
      <c r="Q166" s="7" t="b">
        <f t="shared" si="21"/>
        <v>0</v>
      </c>
      <c r="R166" s="27">
        <f>INCENTIVE!$E$8</f>
        <v>130000000</v>
      </c>
      <c r="S166">
        <f>'DL 1'!D167</f>
        <v>0</v>
      </c>
      <c r="T166" t="str">
        <f t="shared" si="22"/>
        <v>1</v>
      </c>
      <c r="V166" t="str">
        <f t="shared" si="23"/>
        <v>1</v>
      </c>
      <c r="W166">
        <f t="shared" si="24"/>
        <v>0.25</v>
      </c>
      <c r="X166" s="7">
        <f>'DL 1'!E167</f>
        <v>0</v>
      </c>
      <c r="Y166" s="69">
        <f>'DL 1'!G167</f>
        <v>0</v>
      </c>
      <c r="AC166" t="str">
        <f>IFERROR(VLOOKUP(Y166,Data!$G$65:$K$79,2,0) *X166,"")</f>
        <v/>
      </c>
      <c r="AD166" s="7">
        <f t="shared" si="25"/>
        <v>0</v>
      </c>
      <c r="AE166">
        <f>'DL 1'!F167</f>
        <v>0</v>
      </c>
      <c r="AF166" t="str">
        <f>IFERROR(VLOOKUP(Y166,Data!$G$65:$K$79,4,0),"")</f>
        <v/>
      </c>
      <c r="AG166" s="51" t="e">
        <f>#REF!</f>
        <v>#REF!</v>
      </c>
      <c r="AK166">
        <f t="shared" si="26"/>
        <v>0</v>
      </c>
      <c r="AL166">
        <f t="shared" si="27"/>
        <v>0</v>
      </c>
      <c r="AM166" s="70">
        <f t="shared" si="28"/>
        <v>0</v>
      </c>
      <c r="AN166" s="7" t="b">
        <f t="shared" si="29"/>
        <v>0</v>
      </c>
    </row>
    <row r="167" spans="1:40" x14ac:dyDescent="0.3">
      <c r="A167" s="50">
        <f>IF(D167="A",_xlfn.IFNA(INDEX(Data!$H$24:$J$28,MATCH('DL 1'!E168,Data!$G$24:$G$28,1),MATCH('DL 1'!D168,Data!$H$23:$J$23,1)),0),0)</f>
        <v>0</v>
      </c>
      <c r="B167">
        <f>IF('DL 1'!F168="Y",Q167,0)</f>
        <v>0</v>
      </c>
      <c r="C167" t="e">
        <f>_xlfn.IFNA(INDEX(Data!$H$24:$J$28,MATCH(#REF!,Data!$G$24:$G$28,1),MATCH(#REF!,Data!$H$23:$J$23,1)),0)</f>
        <v>#REF!</v>
      </c>
      <c r="D167" t="str">
        <f>RIGHT(TRIM('DL 1'!G168),1)</f>
        <v/>
      </c>
      <c r="E167" s="8">
        <f>'DL 1'!E168*'DL 1'!D168</f>
        <v>0</v>
      </c>
      <c r="F167" t="str">
        <f>_xlfn.IFNA(VLOOKUP(TRIM('DL 1'!G168),Data!$A:$C,3,0),"")</f>
        <v/>
      </c>
      <c r="G167" s="7">
        <f>'DL 1'!E168</f>
        <v>0</v>
      </c>
      <c r="H167" s="21">
        <f>_xlfn.IFNA(VLOOKUP(TRIM('DL 1'!G168),Data!$A:$D,4,0),0)</f>
        <v>0</v>
      </c>
      <c r="I167">
        <f>_xlfn.IFNA(INDEX(Data!$G$5:$K$10,MATCH('DL 1'!D168,Data!$F$5:$F$10,1),MATCH(_xlfn.SINGLE(#REF!),Data!$G$4:$K$4,1)),0)</f>
        <v>0</v>
      </c>
      <c r="J167">
        <f>_xlfn.IFNA(IF(VLOOKUP(TRIM('DL 1'!G168),Data!$A:$C,3,0)="ST1",H167*I167*G167,IF(VLOOKUP(TRIM('DL 1'!G168),Data!$A:$C,3,0)="IR0",H167*G167,MIN(H167:I167)*G167)),0)</f>
        <v>0</v>
      </c>
      <c r="K167" t="e">
        <f>_xlfn.IFNA(VLOOKUP(TRIM(#REF!),Data!$A:$D,4,0)*#REF!,0)</f>
        <v>#REF!</v>
      </c>
      <c r="L167">
        <f>IF(TRIM('DL 1'!G168)="EDCLNHT0IRNLI",20000,0)</f>
        <v>0</v>
      </c>
      <c r="M167">
        <f>IF(ISERROR(MATCH('DL 1'!A168,#REF!,0)),0,J167*2)</f>
        <v>0</v>
      </c>
      <c r="N167" t="e">
        <f>#REF!</f>
        <v>#REF!</v>
      </c>
      <c r="O167">
        <f>_xlfn.IFNA(VLOOKUP(RIGHT(VLOOKUP(TRIM('DL 1'!G168),Data!$A:$B,2,0),1),Data!$L$23:$M$30,2,0),0)</f>
        <v>0</v>
      </c>
      <c r="P167">
        <f t="shared" si="30"/>
        <v>0</v>
      </c>
      <c r="Q167" s="7" t="b">
        <f t="shared" si="21"/>
        <v>0</v>
      </c>
      <c r="R167" s="27">
        <f>INCENTIVE!$E$8</f>
        <v>130000000</v>
      </c>
      <c r="S167">
        <f>'DL 1'!D168</f>
        <v>0</v>
      </c>
      <c r="T167" t="str">
        <f t="shared" si="22"/>
        <v>1</v>
      </c>
      <c r="V167" t="str">
        <f t="shared" si="23"/>
        <v>1</v>
      </c>
      <c r="W167">
        <f t="shared" si="24"/>
        <v>0.25</v>
      </c>
      <c r="X167" s="7">
        <f>'DL 1'!E168</f>
        <v>0</v>
      </c>
      <c r="Y167" s="69">
        <f>'DL 1'!G168</f>
        <v>0</v>
      </c>
      <c r="AC167" t="str">
        <f>IFERROR(VLOOKUP(Y167,Data!$G$65:$K$79,2,0) *X167,"")</f>
        <v/>
      </c>
      <c r="AD167" s="7">
        <f t="shared" si="25"/>
        <v>0</v>
      </c>
      <c r="AE167">
        <f>'DL 1'!F168</f>
        <v>0</v>
      </c>
      <c r="AF167" t="str">
        <f>IFERROR(VLOOKUP(Y167,Data!$G$65:$K$79,4,0),"")</f>
        <v/>
      </c>
      <c r="AG167" s="51" t="e">
        <f>#REF!</f>
        <v>#REF!</v>
      </c>
      <c r="AK167">
        <f t="shared" si="26"/>
        <v>0</v>
      </c>
      <c r="AL167">
        <f t="shared" si="27"/>
        <v>0</v>
      </c>
      <c r="AM167" s="70">
        <f t="shared" si="28"/>
        <v>0</v>
      </c>
      <c r="AN167" s="7" t="b">
        <f t="shared" si="29"/>
        <v>0</v>
      </c>
    </row>
    <row r="168" spans="1:40" x14ac:dyDescent="0.3">
      <c r="A168" s="50">
        <f>IF(D168="A",_xlfn.IFNA(INDEX(Data!$H$24:$J$28,MATCH('DL 1'!E169,Data!$G$24:$G$28,1),MATCH('DL 1'!D169,Data!$H$23:$J$23,1)),0),0)</f>
        <v>0</v>
      </c>
      <c r="B168">
        <f>IF('DL 1'!F169="Y",Q168,0)</f>
        <v>0</v>
      </c>
      <c r="C168" t="e">
        <f>_xlfn.IFNA(INDEX(Data!$H$24:$J$28,MATCH(#REF!,Data!$G$24:$G$28,1),MATCH(#REF!,Data!$H$23:$J$23,1)),0)</f>
        <v>#REF!</v>
      </c>
      <c r="D168" t="str">
        <f>RIGHT(TRIM('DL 1'!G169),1)</f>
        <v/>
      </c>
      <c r="E168" s="8">
        <f>'DL 1'!E169*'DL 1'!D169</f>
        <v>0</v>
      </c>
      <c r="F168" t="str">
        <f>_xlfn.IFNA(VLOOKUP(TRIM('DL 1'!G169),Data!$A:$C,3,0),"")</f>
        <v/>
      </c>
      <c r="G168" s="7">
        <f>'DL 1'!E169</f>
        <v>0</v>
      </c>
      <c r="H168" s="21">
        <f>_xlfn.IFNA(VLOOKUP(TRIM('DL 1'!G169),Data!$A:$D,4,0),0)</f>
        <v>0</v>
      </c>
      <c r="I168">
        <f>_xlfn.IFNA(INDEX(Data!$G$5:$K$10,MATCH('DL 1'!D169,Data!$F$5:$F$10,1),MATCH(_xlfn.SINGLE(#REF!),Data!$G$4:$K$4,1)),0)</f>
        <v>0</v>
      </c>
      <c r="J168">
        <f>_xlfn.IFNA(IF(VLOOKUP(TRIM('DL 1'!G169),Data!$A:$C,3,0)="ST1",H168*I168*G168,IF(VLOOKUP(TRIM('DL 1'!G169),Data!$A:$C,3,0)="IR0",H168*G168,MIN(H168:I168)*G168)),0)</f>
        <v>0</v>
      </c>
      <c r="K168" t="e">
        <f>_xlfn.IFNA(VLOOKUP(TRIM(#REF!),Data!$A:$D,4,0)*#REF!,0)</f>
        <v>#REF!</v>
      </c>
      <c r="L168">
        <f>IF(TRIM('DL 1'!G169)="EDCLNHT0IRNLI",20000,0)</f>
        <v>0</v>
      </c>
      <c r="M168">
        <f>IF(ISERROR(MATCH('DL 1'!A169,#REF!,0)),0,J168*2)</f>
        <v>0</v>
      </c>
      <c r="N168" t="e">
        <f>#REF!</f>
        <v>#REF!</v>
      </c>
      <c r="O168">
        <f>_xlfn.IFNA(VLOOKUP(RIGHT(VLOOKUP(TRIM('DL 1'!G169),Data!$A:$B,2,0),1),Data!$L$23:$M$30,2,0),0)</f>
        <v>0</v>
      </c>
      <c r="P168">
        <f t="shared" si="30"/>
        <v>0</v>
      </c>
      <c r="Q168" s="7" t="b">
        <f t="shared" si="21"/>
        <v>0</v>
      </c>
      <c r="R168" s="27">
        <f>INCENTIVE!$E$8</f>
        <v>130000000</v>
      </c>
      <c r="S168">
        <f>'DL 1'!D169</f>
        <v>0</v>
      </c>
      <c r="T168" t="str">
        <f t="shared" si="22"/>
        <v>1</v>
      </c>
      <c r="V168" t="str">
        <f t="shared" si="23"/>
        <v>1</v>
      </c>
      <c r="W168">
        <f t="shared" si="24"/>
        <v>0.25</v>
      </c>
      <c r="X168" s="7">
        <f>'DL 1'!E169</f>
        <v>0</v>
      </c>
      <c r="Y168" s="69">
        <f>'DL 1'!G169</f>
        <v>0</v>
      </c>
      <c r="AC168" t="str">
        <f>IFERROR(VLOOKUP(Y168,Data!$G$65:$K$79,2,0) *X168,"")</f>
        <v/>
      </c>
      <c r="AD168" s="7">
        <f t="shared" si="25"/>
        <v>0</v>
      </c>
      <c r="AE168">
        <f>'DL 1'!F169</f>
        <v>0</v>
      </c>
      <c r="AF168" t="str">
        <f>IFERROR(VLOOKUP(Y168,Data!$G$65:$K$79,4,0),"")</f>
        <v/>
      </c>
      <c r="AG168" s="51" t="e">
        <f>#REF!</f>
        <v>#REF!</v>
      </c>
      <c r="AK168">
        <f t="shared" si="26"/>
        <v>0</v>
      </c>
      <c r="AL168">
        <f t="shared" si="27"/>
        <v>0</v>
      </c>
      <c r="AM168" s="70">
        <f t="shared" si="28"/>
        <v>0</v>
      </c>
      <c r="AN168" s="7" t="b">
        <f t="shared" si="29"/>
        <v>0</v>
      </c>
    </row>
    <row r="169" spans="1:40" x14ac:dyDescent="0.3">
      <c r="A169" s="50">
        <f>IF(D169="A",_xlfn.IFNA(INDEX(Data!$H$24:$J$28,MATCH('DL 1'!E170,Data!$G$24:$G$28,1),MATCH('DL 1'!D170,Data!$H$23:$J$23,1)),0),0)</f>
        <v>0</v>
      </c>
      <c r="B169">
        <f>IF('DL 1'!F170="Y",Q169,0)</f>
        <v>0</v>
      </c>
      <c r="C169" t="e">
        <f>_xlfn.IFNA(INDEX(Data!$H$24:$J$28,MATCH(#REF!,Data!$G$24:$G$28,1),MATCH(#REF!,Data!$H$23:$J$23,1)),0)</f>
        <v>#REF!</v>
      </c>
      <c r="D169" t="str">
        <f>RIGHT(TRIM('DL 1'!G170),1)</f>
        <v/>
      </c>
      <c r="E169" s="8">
        <f>'DL 1'!E170*'DL 1'!D170</f>
        <v>0</v>
      </c>
      <c r="F169" t="str">
        <f>_xlfn.IFNA(VLOOKUP(TRIM('DL 1'!G170),Data!$A:$C,3,0),"")</f>
        <v/>
      </c>
      <c r="G169" s="7">
        <f>'DL 1'!E170</f>
        <v>0</v>
      </c>
      <c r="H169" s="21">
        <f>_xlfn.IFNA(VLOOKUP(TRIM('DL 1'!G170),Data!$A:$D,4,0),0)</f>
        <v>0</v>
      </c>
      <c r="I169">
        <f>_xlfn.IFNA(INDEX(Data!$G$5:$K$10,MATCH('DL 1'!D170,Data!$F$5:$F$10,1),MATCH(_xlfn.SINGLE(#REF!),Data!$G$4:$K$4,1)),0)</f>
        <v>0</v>
      </c>
      <c r="J169">
        <f>_xlfn.IFNA(IF(VLOOKUP(TRIM('DL 1'!G170),Data!$A:$C,3,0)="ST1",H169*I169*G169,IF(VLOOKUP(TRIM('DL 1'!G170),Data!$A:$C,3,0)="IR0",H169*G169,MIN(H169:I169)*G169)),0)</f>
        <v>0</v>
      </c>
      <c r="K169" t="e">
        <f>_xlfn.IFNA(VLOOKUP(TRIM(#REF!),Data!$A:$D,4,0)*#REF!,0)</f>
        <v>#REF!</v>
      </c>
      <c r="L169">
        <f>IF(TRIM('DL 1'!G170)="EDCLNHT0IRNLI",20000,0)</f>
        <v>0</v>
      </c>
      <c r="M169">
        <f>IF(ISERROR(MATCH('DL 1'!A170,#REF!,0)),0,J169*2)</f>
        <v>0</v>
      </c>
      <c r="N169" t="e">
        <f>#REF!</f>
        <v>#REF!</v>
      </c>
      <c r="O169">
        <f>_xlfn.IFNA(VLOOKUP(RIGHT(VLOOKUP(TRIM('DL 1'!G170),Data!$A:$B,2,0),1),Data!$L$23:$M$30,2,0),0)</f>
        <v>0</v>
      </c>
      <c r="P169">
        <f t="shared" si="30"/>
        <v>0</v>
      </c>
      <c r="Q169" s="7" t="b">
        <f t="shared" si="21"/>
        <v>0</v>
      </c>
      <c r="R169" s="27">
        <f>INCENTIVE!$E$8</f>
        <v>130000000</v>
      </c>
      <c r="S169">
        <f>'DL 1'!D170</f>
        <v>0</v>
      </c>
      <c r="T169" t="str">
        <f t="shared" si="22"/>
        <v>1</v>
      </c>
      <c r="V169" t="str">
        <f t="shared" si="23"/>
        <v>1</v>
      </c>
      <c r="W169">
        <f t="shared" si="24"/>
        <v>0.25</v>
      </c>
      <c r="X169" s="7">
        <f>'DL 1'!E170</f>
        <v>0</v>
      </c>
      <c r="Y169" s="69">
        <f>'DL 1'!G170</f>
        <v>0</v>
      </c>
      <c r="AC169" t="str">
        <f>IFERROR(VLOOKUP(Y169,Data!$G$65:$K$79,2,0) *X169,"")</f>
        <v/>
      </c>
      <c r="AD169" s="7">
        <f t="shared" si="25"/>
        <v>0</v>
      </c>
      <c r="AE169">
        <f>'DL 1'!F170</f>
        <v>0</v>
      </c>
      <c r="AF169" t="str">
        <f>IFERROR(VLOOKUP(Y169,Data!$G$65:$K$79,4,0),"")</f>
        <v/>
      </c>
      <c r="AG169" s="51" t="e">
        <f>#REF!</f>
        <v>#REF!</v>
      </c>
      <c r="AK169">
        <f t="shared" si="26"/>
        <v>0</v>
      </c>
      <c r="AL169">
        <f t="shared" si="27"/>
        <v>0</v>
      </c>
      <c r="AM169" s="70">
        <f t="shared" si="28"/>
        <v>0</v>
      </c>
      <c r="AN169" s="7" t="b">
        <f t="shared" si="29"/>
        <v>0</v>
      </c>
    </row>
    <row r="170" spans="1:40" x14ac:dyDescent="0.3">
      <c r="A170" s="50">
        <f>IF(D170="A",_xlfn.IFNA(INDEX(Data!$H$24:$J$28,MATCH('DL 1'!E171,Data!$G$24:$G$28,1),MATCH('DL 1'!D171,Data!$H$23:$J$23,1)),0),0)</f>
        <v>0</v>
      </c>
      <c r="B170">
        <f>IF('DL 1'!F171="Y",Q170,0)</f>
        <v>0</v>
      </c>
      <c r="C170" t="e">
        <f>_xlfn.IFNA(INDEX(Data!$H$24:$J$28,MATCH(#REF!,Data!$G$24:$G$28,1),MATCH(#REF!,Data!$H$23:$J$23,1)),0)</f>
        <v>#REF!</v>
      </c>
      <c r="D170" t="str">
        <f>RIGHT(TRIM('DL 1'!G171),1)</f>
        <v/>
      </c>
      <c r="E170" s="8">
        <f>'DL 1'!E171*'DL 1'!D171</f>
        <v>0</v>
      </c>
      <c r="F170" t="str">
        <f>_xlfn.IFNA(VLOOKUP(TRIM('DL 1'!G171),Data!$A:$C,3,0),"")</f>
        <v/>
      </c>
      <c r="G170" s="7">
        <f>'DL 1'!E171</f>
        <v>0</v>
      </c>
      <c r="H170" s="21">
        <f>_xlfn.IFNA(VLOOKUP(TRIM('DL 1'!G171),Data!$A:$D,4,0),0)</f>
        <v>0</v>
      </c>
      <c r="I170">
        <f>_xlfn.IFNA(INDEX(Data!$G$5:$K$10,MATCH('DL 1'!D171,Data!$F$5:$F$10,1),MATCH(_xlfn.SINGLE(#REF!),Data!$G$4:$K$4,1)),0)</f>
        <v>0</v>
      </c>
      <c r="J170">
        <f>_xlfn.IFNA(IF(VLOOKUP(TRIM('DL 1'!G171),Data!$A:$C,3,0)="ST1",H170*I170*G170,IF(VLOOKUP(TRIM('DL 1'!G171),Data!$A:$C,3,0)="IR0",H170*G170,MIN(H170:I170)*G170)),0)</f>
        <v>0</v>
      </c>
      <c r="K170" t="e">
        <f>_xlfn.IFNA(VLOOKUP(TRIM(#REF!),Data!$A:$D,4,0)*#REF!,0)</f>
        <v>#REF!</v>
      </c>
      <c r="L170">
        <f>IF(TRIM('DL 1'!G171)="EDCLNHT0IRNLI",20000,0)</f>
        <v>0</v>
      </c>
      <c r="M170">
        <f>IF(ISERROR(MATCH('DL 1'!A171,#REF!,0)),0,J170*2)</f>
        <v>0</v>
      </c>
      <c r="N170" t="e">
        <f>#REF!</f>
        <v>#REF!</v>
      </c>
      <c r="O170">
        <f>_xlfn.IFNA(VLOOKUP(RIGHT(VLOOKUP(TRIM('DL 1'!G171),Data!$A:$B,2,0),1),Data!$L$23:$M$30,2,0),0)</f>
        <v>0</v>
      </c>
      <c r="P170">
        <f t="shared" si="30"/>
        <v>0</v>
      </c>
      <c r="Q170" s="7" t="b">
        <f t="shared" si="21"/>
        <v>0</v>
      </c>
      <c r="R170" s="27">
        <f>INCENTIVE!$E$8</f>
        <v>130000000</v>
      </c>
      <c r="S170">
        <f>'DL 1'!D171</f>
        <v>0</v>
      </c>
      <c r="T170" t="str">
        <f t="shared" si="22"/>
        <v>1</v>
      </c>
      <c r="V170" t="str">
        <f t="shared" si="23"/>
        <v>1</v>
      </c>
      <c r="W170">
        <f t="shared" si="24"/>
        <v>0.25</v>
      </c>
      <c r="X170" s="7">
        <f>'DL 1'!E171</f>
        <v>0</v>
      </c>
      <c r="Y170" s="69">
        <f>'DL 1'!G171</f>
        <v>0</v>
      </c>
      <c r="AC170" t="str">
        <f>IFERROR(VLOOKUP(Y170,Data!$G$65:$K$79,2,0) *X170,"")</f>
        <v/>
      </c>
      <c r="AD170" s="7">
        <f t="shared" si="25"/>
        <v>0</v>
      </c>
      <c r="AE170">
        <f>'DL 1'!F171</f>
        <v>0</v>
      </c>
      <c r="AF170" t="str">
        <f>IFERROR(VLOOKUP(Y170,Data!$G$65:$K$79,4,0),"")</f>
        <v/>
      </c>
      <c r="AG170" s="51" t="e">
        <f>#REF!</f>
        <v>#REF!</v>
      </c>
      <c r="AK170">
        <f t="shared" si="26"/>
        <v>0</v>
      </c>
      <c r="AL170">
        <f t="shared" si="27"/>
        <v>0</v>
      </c>
      <c r="AM170" s="70">
        <f t="shared" si="28"/>
        <v>0</v>
      </c>
      <c r="AN170" s="7" t="b">
        <f t="shared" si="29"/>
        <v>0</v>
      </c>
    </row>
    <row r="171" spans="1:40" x14ac:dyDescent="0.3">
      <c r="A171" s="50">
        <f>IF(D171="A",_xlfn.IFNA(INDEX(Data!$H$24:$J$28,MATCH('DL 1'!E172,Data!$G$24:$G$28,1),MATCH('DL 1'!D172,Data!$H$23:$J$23,1)),0),0)</f>
        <v>0</v>
      </c>
      <c r="B171">
        <f>IF('DL 1'!F172="Y",Q171,0)</f>
        <v>0</v>
      </c>
      <c r="C171" t="e">
        <f>_xlfn.IFNA(INDEX(Data!$H$24:$J$28,MATCH(#REF!,Data!$G$24:$G$28,1),MATCH(#REF!,Data!$H$23:$J$23,1)),0)</f>
        <v>#REF!</v>
      </c>
      <c r="D171" t="str">
        <f>RIGHT(TRIM('DL 1'!G172),1)</f>
        <v/>
      </c>
      <c r="E171" s="8">
        <f>'DL 1'!E172*'DL 1'!D172</f>
        <v>0</v>
      </c>
      <c r="F171" t="str">
        <f>_xlfn.IFNA(VLOOKUP(TRIM('DL 1'!G172),Data!$A:$C,3,0),"")</f>
        <v/>
      </c>
      <c r="G171" s="7">
        <f>'DL 1'!E172</f>
        <v>0</v>
      </c>
      <c r="H171" s="21">
        <f>_xlfn.IFNA(VLOOKUP(TRIM('DL 1'!G172),Data!$A:$D,4,0),0)</f>
        <v>0</v>
      </c>
      <c r="I171">
        <f>_xlfn.IFNA(INDEX(Data!$G$5:$K$10,MATCH('DL 1'!D172,Data!$F$5:$F$10,1),MATCH(_xlfn.SINGLE(#REF!),Data!$G$4:$K$4,1)),0)</f>
        <v>0</v>
      </c>
      <c r="J171">
        <f>_xlfn.IFNA(IF(VLOOKUP(TRIM('DL 1'!G172),Data!$A:$C,3,0)="ST1",H171*I171*G171,IF(VLOOKUP(TRIM('DL 1'!G172),Data!$A:$C,3,0)="IR0",H171*G171,MIN(H171:I171)*G171)),0)</f>
        <v>0</v>
      </c>
      <c r="K171" t="e">
        <f>_xlfn.IFNA(VLOOKUP(TRIM(#REF!),Data!$A:$D,4,0)*#REF!,0)</f>
        <v>#REF!</v>
      </c>
      <c r="L171">
        <f>IF(TRIM('DL 1'!G172)="EDCLNHT0IRNLI",20000,0)</f>
        <v>0</v>
      </c>
      <c r="M171">
        <f>IF(ISERROR(MATCH('DL 1'!A172,#REF!,0)),0,J171*2)</f>
        <v>0</v>
      </c>
      <c r="N171" t="e">
        <f>#REF!</f>
        <v>#REF!</v>
      </c>
      <c r="O171">
        <f>_xlfn.IFNA(VLOOKUP(RIGHT(VLOOKUP(TRIM('DL 1'!G172),Data!$A:$B,2,0),1),Data!$L$23:$M$30,2,0),0)</f>
        <v>0</v>
      </c>
      <c r="P171">
        <f t="shared" si="30"/>
        <v>0</v>
      </c>
      <c r="Q171" s="7" t="b">
        <f t="shared" si="21"/>
        <v>0</v>
      </c>
      <c r="R171" s="27">
        <f>INCENTIVE!$E$8</f>
        <v>130000000</v>
      </c>
      <c r="S171">
        <f>'DL 1'!D172</f>
        <v>0</v>
      </c>
      <c r="T171" t="str">
        <f t="shared" si="22"/>
        <v>1</v>
      </c>
      <c r="V171" t="str">
        <f t="shared" si="23"/>
        <v>1</v>
      </c>
      <c r="W171">
        <f t="shared" si="24"/>
        <v>0.25</v>
      </c>
      <c r="X171" s="7">
        <f>'DL 1'!E172</f>
        <v>0</v>
      </c>
      <c r="Y171" s="69">
        <f>'DL 1'!G172</f>
        <v>0</v>
      </c>
      <c r="AC171" t="str">
        <f>IFERROR(VLOOKUP(Y171,Data!$G$65:$K$79,2,0) *X171,"")</f>
        <v/>
      </c>
      <c r="AD171" s="7">
        <f t="shared" si="25"/>
        <v>0</v>
      </c>
      <c r="AE171">
        <f>'DL 1'!F172</f>
        <v>0</v>
      </c>
      <c r="AF171" t="str">
        <f>IFERROR(VLOOKUP(Y171,Data!$G$65:$K$79,4,0),"")</f>
        <v/>
      </c>
      <c r="AG171" s="51" t="e">
        <f>#REF!</f>
        <v>#REF!</v>
      </c>
      <c r="AK171">
        <f t="shared" si="26"/>
        <v>0</v>
      </c>
      <c r="AL171">
        <f t="shared" si="27"/>
        <v>0</v>
      </c>
      <c r="AM171" s="70">
        <f t="shared" si="28"/>
        <v>0</v>
      </c>
      <c r="AN171" s="7" t="b">
        <f t="shared" si="29"/>
        <v>0</v>
      </c>
    </row>
    <row r="172" spans="1:40" x14ac:dyDescent="0.3">
      <c r="A172" s="50">
        <f>IF(D172="A",_xlfn.IFNA(INDEX(Data!$H$24:$J$28,MATCH('DL 1'!E173,Data!$G$24:$G$28,1),MATCH('DL 1'!D173,Data!$H$23:$J$23,1)),0),0)</f>
        <v>0</v>
      </c>
      <c r="B172">
        <f>IF('DL 1'!F173="Y",Q172,0)</f>
        <v>0</v>
      </c>
      <c r="C172" t="e">
        <f>_xlfn.IFNA(INDEX(Data!$H$24:$J$28,MATCH(#REF!,Data!$G$24:$G$28,1),MATCH(#REF!,Data!$H$23:$J$23,1)),0)</f>
        <v>#REF!</v>
      </c>
      <c r="D172" t="str">
        <f>RIGHT(TRIM('DL 1'!G173),1)</f>
        <v/>
      </c>
      <c r="E172" s="8">
        <f>'DL 1'!E173*'DL 1'!D173</f>
        <v>0</v>
      </c>
      <c r="F172" t="str">
        <f>_xlfn.IFNA(VLOOKUP(TRIM('DL 1'!G173),Data!$A:$C,3,0),"")</f>
        <v/>
      </c>
      <c r="G172" s="7">
        <f>'DL 1'!E173</f>
        <v>0</v>
      </c>
      <c r="H172" s="21">
        <f>_xlfn.IFNA(VLOOKUP(TRIM('DL 1'!G173),Data!$A:$D,4,0),0)</f>
        <v>0</v>
      </c>
      <c r="I172">
        <f>_xlfn.IFNA(INDEX(Data!$G$5:$K$10,MATCH('DL 1'!D173,Data!$F$5:$F$10,1),MATCH(_xlfn.SINGLE(#REF!),Data!$G$4:$K$4,1)),0)</f>
        <v>0</v>
      </c>
      <c r="J172">
        <f>_xlfn.IFNA(IF(VLOOKUP(TRIM('DL 1'!G173),Data!$A:$C,3,0)="ST1",H172*I172*G172,IF(VLOOKUP(TRIM('DL 1'!G173),Data!$A:$C,3,0)="IR0",H172*G172,MIN(H172:I172)*G172)),0)</f>
        <v>0</v>
      </c>
      <c r="K172" t="e">
        <f>_xlfn.IFNA(VLOOKUP(TRIM(#REF!),Data!$A:$D,4,0)*#REF!,0)</f>
        <v>#REF!</v>
      </c>
      <c r="L172">
        <f>IF(TRIM('DL 1'!G173)="EDCLNHT0IRNLI",20000,0)</f>
        <v>0</v>
      </c>
      <c r="M172">
        <f>IF(ISERROR(MATCH('DL 1'!A173,#REF!,0)),0,J172*2)</f>
        <v>0</v>
      </c>
      <c r="N172" t="e">
        <f>#REF!</f>
        <v>#REF!</v>
      </c>
      <c r="O172">
        <f>_xlfn.IFNA(VLOOKUP(RIGHT(VLOOKUP(TRIM('DL 1'!G173),Data!$A:$B,2,0),1),Data!$L$23:$M$30,2,0),0)</f>
        <v>0</v>
      </c>
      <c r="P172">
        <f t="shared" si="30"/>
        <v>0</v>
      </c>
      <c r="Q172" s="7" t="b">
        <f t="shared" si="21"/>
        <v>0</v>
      </c>
      <c r="R172" s="27">
        <f>INCENTIVE!$E$8</f>
        <v>130000000</v>
      </c>
      <c r="S172">
        <f>'DL 1'!D173</f>
        <v>0</v>
      </c>
      <c r="T172" t="str">
        <f t="shared" si="22"/>
        <v>1</v>
      </c>
      <c r="V172" t="str">
        <f t="shared" si="23"/>
        <v>1</v>
      </c>
      <c r="W172">
        <f t="shared" si="24"/>
        <v>0.25</v>
      </c>
      <c r="X172" s="7">
        <f>'DL 1'!E173</f>
        <v>0</v>
      </c>
      <c r="Y172" s="69">
        <f>'DL 1'!G173</f>
        <v>0</v>
      </c>
      <c r="AC172" t="str">
        <f>IFERROR(VLOOKUP(Y172,Data!$G$65:$K$79,2,0) *X172,"")</f>
        <v/>
      </c>
      <c r="AD172" s="7">
        <f t="shared" si="25"/>
        <v>0</v>
      </c>
      <c r="AE172">
        <f>'DL 1'!F173</f>
        <v>0</v>
      </c>
      <c r="AF172" t="str">
        <f>IFERROR(VLOOKUP(Y172,Data!$G$65:$K$79,4,0),"")</f>
        <v/>
      </c>
      <c r="AG172" s="51" t="e">
        <f>#REF!</f>
        <v>#REF!</v>
      </c>
      <c r="AK172">
        <f t="shared" si="26"/>
        <v>0</v>
      </c>
      <c r="AL172">
        <f t="shared" si="27"/>
        <v>0</v>
      </c>
      <c r="AM172" s="70">
        <f t="shared" si="28"/>
        <v>0</v>
      </c>
      <c r="AN172" s="7" t="b">
        <f t="shared" si="29"/>
        <v>0</v>
      </c>
    </row>
    <row r="173" spans="1:40" x14ac:dyDescent="0.3">
      <c r="A173" s="50">
        <f>IF(D173="A",_xlfn.IFNA(INDEX(Data!$H$24:$J$28,MATCH('DL 1'!E174,Data!$G$24:$G$28,1),MATCH('DL 1'!D174,Data!$H$23:$J$23,1)),0),0)</f>
        <v>0</v>
      </c>
      <c r="B173">
        <f>IF('DL 1'!F174="Y",Q173,0)</f>
        <v>0</v>
      </c>
      <c r="C173" t="e">
        <f>_xlfn.IFNA(INDEX(Data!$H$24:$J$28,MATCH(#REF!,Data!$G$24:$G$28,1),MATCH(#REF!,Data!$H$23:$J$23,1)),0)</f>
        <v>#REF!</v>
      </c>
      <c r="D173" t="str">
        <f>RIGHT(TRIM('DL 1'!G174),1)</f>
        <v/>
      </c>
      <c r="E173" s="8">
        <f>'DL 1'!E174*'DL 1'!D174</f>
        <v>0</v>
      </c>
      <c r="F173" t="str">
        <f>_xlfn.IFNA(VLOOKUP(TRIM('DL 1'!G174),Data!$A:$C,3,0),"")</f>
        <v/>
      </c>
      <c r="G173" s="7">
        <f>'DL 1'!E174</f>
        <v>0</v>
      </c>
      <c r="H173" s="21">
        <f>_xlfn.IFNA(VLOOKUP(TRIM('DL 1'!G174),Data!$A:$D,4,0),0)</f>
        <v>0</v>
      </c>
      <c r="I173">
        <f>_xlfn.IFNA(INDEX(Data!$G$5:$K$10,MATCH('DL 1'!D174,Data!$F$5:$F$10,1),MATCH(_xlfn.SINGLE(#REF!),Data!$G$4:$K$4,1)),0)</f>
        <v>0</v>
      </c>
      <c r="J173">
        <f>_xlfn.IFNA(IF(VLOOKUP(TRIM('DL 1'!G174),Data!$A:$C,3,0)="ST1",H173*I173*G173,IF(VLOOKUP(TRIM('DL 1'!G174),Data!$A:$C,3,0)="IR0",H173*G173,MIN(H173:I173)*G173)),0)</f>
        <v>0</v>
      </c>
      <c r="K173" t="e">
        <f>_xlfn.IFNA(VLOOKUP(TRIM(#REF!),Data!$A:$D,4,0)*#REF!,0)</f>
        <v>#REF!</v>
      </c>
      <c r="L173">
        <f>IF(TRIM('DL 1'!G174)="EDCLNHT0IRNLI",20000,0)</f>
        <v>0</v>
      </c>
      <c r="M173">
        <f>IF(ISERROR(MATCH('DL 1'!A174,#REF!,0)),0,J173*2)</f>
        <v>0</v>
      </c>
      <c r="N173" t="e">
        <f>#REF!</f>
        <v>#REF!</v>
      </c>
      <c r="O173">
        <f>_xlfn.IFNA(VLOOKUP(RIGHT(VLOOKUP(TRIM('DL 1'!G174),Data!$A:$B,2,0),1),Data!$L$23:$M$30,2,0),0)</f>
        <v>0</v>
      </c>
      <c r="P173">
        <f t="shared" si="30"/>
        <v>0</v>
      </c>
      <c r="Q173" s="7" t="b">
        <f t="shared" si="21"/>
        <v>0</v>
      </c>
      <c r="R173" s="27">
        <f>INCENTIVE!$E$8</f>
        <v>130000000</v>
      </c>
      <c r="S173">
        <f>'DL 1'!D174</f>
        <v>0</v>
      </c>
      <c r="T173" t="str">
        <f t="shared" si="22"/>
        <v>1</v>
      </c>
      <c r="V173" t="str">
        <f t="shared" si="23"/>
        <v>1</v>
      </c>
      <c r="W173">
        <f t="shared" si="24"/>
        <v>0.25</v>
      </c>
      <c r="X173" s="7">
        <f>'DL 1'!E174</f>
        <v>0</v>
      </c>
      <c r="Y173" s="69">
        <f>'DL 1'!G174</f>
        <v>0</v>
      </c>
      <c r="AC173" t="str">
        <f>IFERROR(VLOOKUP(Y173,Data!$G$65:$K$79,2,0) *X173,"")</f>
        <v/>
      </c>
      <c r="AD173" s="7">
        <f t="shared" si="25"/>
        <v>0</v>
      </c>
      <c r="AE173">
        <f>'DL 1'!F174</f>
        <v>0</v>
      </c>
      <c r="AF173" t="str">
        <f>IFERROR(VLOOKUP(Y173,Data!$G$65:$K$79,4,0),"")</f>
        <v/>
      </c>
      <c r="AG173" s="51" t="e">
        <f>#REF!</f>
        <v>#REF!</v>
      </c>
      <c r="AK173">
        <f t="shared" si="26"/>
        <v>0</v>
      </c>
      <c r="AL173">
        <f t="shared" si="27"/>
        <v>0</v>
      </c>
      <c r="AM173" s="70">
        <f t="shared" si="28"/>
        <v>0</v>
      </c>
      <c r="AN173" s="7" t="b">
        <f t="shared" si="29"/>
        <v>0</v>
      </c>
    </row>
    <row r="174" spans="1:40" x14ac:dyDescent="0.3">
      <c r="A174" s="50">
        <f>IF(D174="A",_xlfn.IFNA(INDEX(Data!$H$24:$J$28,MATCH('DL 1'!E175,Data!$G$24:$G$28,1),MATCH('DL 1'!D175,Data!$H$23:$J$23,1)),0),0)</f>
        <v>0</v>
      </c>
      <c r="B174">
        <f>IF('DL 1'!F175="Y",Q174,0)</f>
        <v>0</v>
      </c>
      <c r="C174" t="e">
        <f>_xlfn.IFNA(INDEX(Data!$H$24:$J$28,MATCH(#REF!,Data!$G$24:$G$28,1),MATCH(#REF!,Data!$H$23:$J$23,1)),0)</f>
        <v>#REF!</v>
      </c>
      <c r="D174" t="str">
        <f>RIGHT(TRIM('DL 1'!G175),1)</f>
        <v/>
      </c>
      <c r="E174" s="8">
        <f>'DL 1'!E175*'DL 1'!D175</f>
        <v>0</v>
      </c>
      <c r="F174" t="str">
        <f>_xlfn.IFNA(VLOOKUP(TRIM('DL 1'!G175),Data!$A:$C,3,0),"")</f>
        <v/>
      </c>
      <c r="G174" s="7">
        <f>'DL 1'!E175</f>
        <v>0</v>
      </c>
      <c r="H174" s="21">
        <f>_xlfn.IFNA(VLOOKUP(TRIM('DL 1'!G175),Data!$A:$D,4,0),0)</f>
        <v>0</v>
      </c>
      <c r="I174">
        <f>_xlfn.IFNA(INDEX(Data!$G$5:$K$10,MATCH('DL 1'!D175,Data!$F$5:$F$10,1),MATCH(_xlfn.SINGLE(#REF!),Data!$G$4:$K$4,1)),0)</f>
        <v>0</v>
      </c>
      <c r="J174">
        <f>_xlfn.IFNA(IF(VLOOKUP(TRIM('DL 1'!G175),Data!$A:$C,3,0)="ST1",H174*I174*G174,IF(VLOOKUP(TRIM('DL 1'!G175),Data!$A:$C,3,0)="IR0",H174*G174,MIN(H174:I174)*G174)),0)</f>
        <v>0</v>
      </c>
      <c r="K174" t="e">
        <f>_xlfn.IFNA(VLOOKUP(TRIM(#REF!),Data!$A:$D,4,0)*#REF!,0)</f>
        <v>#REF!</v>
      </c>
      <c r="L174">
        <f>IF(TRIM('DL 1'!G175)="EDCLNHT0IRNLI",20000,0)</f>
        <v>0</v>
      </c>
      <c r="M174">
        <f>IF(ISERROR(MATCH('DL 1'!A175,#REF!,0)),0,J174*2)</f>
        <v>0</v>
      </c>
      <c r="N174" t="e">
        <f>#REF!</f>
        <v>#REF!</v>
      </c>
      <c r="O174">
        <f>_xlfn.IFNA(VLOOKUP(RIGHT(VLOOKUP(TRIM('DL 1'!G175),Data!$A:$B,2,0),1),Data!$L$23:$M$30,2,0),0)</f>
        <v>0</v>
      </c>
      <c r="P174">
        <f t="shared" si="30"/>
        <v>0</v>
      </c>
      <c r="Q174" s="7" t="b">
        <f t="shared" si="21"/>
        <v>0</v>
      </c>
      <c r="R174" s="27">
        <f>INCENTIVE!$E$8</f>
        <v>130000000</v>
      </c>
      <c r="S174">
        <f>'DL 1'!D175</f>
        <v>0</v>
      </c>
      <c r="T174" t="str">
        <f t="shared" si="22"/>
        <v>1</v>
      </c>
      <c r="V174" t="str">
        <f t="shared" si="23"/>
        <v>1</v>
      </c>
      <c r="W174">
        <f t="shared" si="24"/>
        <v>0.25</v>
      </c>
      <c r="X174" s="7">
        <f>'DL 1'!E175</f>
        <v>0</v>
      </c>
      <c r="Y174" s="69">
        <f>'DL 1'!G175</f>
        <v>0</v>
      </c>
      <c r="AC174" t="str">
        <f>IFERROR(VLOOKUP(Y174,Data!$G$65:$K$79,2,0) *X174,"")</f>
        <v/>
      </c>
      <c r="AD174" s="7">
        <f t="shared" si="25"/>
        <v>0</v>
      </c>
      <c r="AE174">
        <f>'DL 1'!F175</f>
        <v>0</v>
      </c>
      <c r="AF174" t="str">
        <f>IFERROR(VLOOKUP(Y174,Data!$G$65:$K$79,4,0),"")</f>
        <v/>
      </c>
      <c r="AG174" s="51" t="e">
        <f>#REF!</f>
        <v>#REF!</v>
      </c>
      <c r="AK174">
        <f t="shared" si="26"/>
        <v>0</v>
      </c>
      <c r="AL174">
        <f t="shared" si="27"/>
        <v>0</v>
      </c>
      <c r="AM174" s="70">
        <f t="shared" si="28"/>
        <v>0</v>
      </c>
      <c r="AN174" s="7" t="b">
        <f t="shared" si="29"/>
        <v>0</v>
      </c>
    </row>
    <row r="175" spans="1:40" x14ac:dyDescent="0.3">
      <c r="A175" s="50">
        <f>IF(D175="A",_xlfn.IFNA(INDEX(Data!$H$24:$J$28,MATCH('DL 1'!E176,Data!$G$24:$G$28,1),MATCH('DL 1'!D176,Data!$H$23:$J$23,1)),0),0)</f>
        <v>0</v>
      </c>
      <c r="B175">
        <f>IF('DL 1'!F176="Y",Q175,0)</f>
        <v>0</v>
      </c>
      <c r="C175" t="e">
        <f>_xlfn.IFNA(INDEX(Data!$H$24:$J$28,MATCH(#REF!,Data!$G$24:$G$28,1),MATCH(#REF!,Data!$H$23:$J$23,1)),0)</f>
        <v>#REF!</v>
      </c>
      <c r="D175" t="str">
        <f>RIGHT(TRIM('DL 1'!G176),1)</f>
        <v/>
      </c>
      <c r="E175" s="8">
        <f>'DL 1'!E176*'DL 1'!D176</f>
        <v>0</v>
      </c>
      <c r="F175" t="str">
        <f>_xlfn.IFNA(VLOOKUP(TRIM('DL 1'!G176),Data!$A:$C,3,0),"")</f>
        <v/>
      </c>
      <c r="G175" s="7">
        <f>'DL 1'!E176</f>
        <v>0</v>
      </c>
      <c r="H175" s="21">
        <f>_xlfn.IFNA(VLOOKUP(TRIM('DL 1'!G176),Data!$A:$D,4,0),0)</f>
        <v>0</v>
      </c>
      <c r="I175">
        <f>_xlfn.IFNA(INDEX(Data!$G$5:$K$10,MATCH('DL 1'!D176,Data!$F$5:$F$10,1),MATCH(_xlfn.SINGLE(#REF!),Data!$G$4:$K$4,1)),0)</f>
        <v>0</v>
      </c>
      <c r="J175">
        <f>_xlfn.IFNA(IF(VLOOKUP(TRIM('DL 1'!G176),Data!$A:$C,3,0)="ST1",H175*I175*G175,IF(VLOOKUP(TRIM('DL 1'!G176),Data!$A:$C,3,0)="IR0",H175*G175,MIN(H175:I175)*G175)),0)</f>
        <v>0</v>
      </c>
      <c r="K175" t="e">
        <f>_xlfn.IFNA(VLOOKUP(TRIM(#REF!),Data!$A:$D,4,0)*#REF!,0)</f>
        <v>#REF!</v>
      </c>
      <c r="L175">
        <f>IF(TRIM('DL 1'!G176)="EDCLNHT0IRNLI",20000,0)</f>
        <v>0</v>
      </c>
      <c r="M175">
        <f>IF(ISERROR(MATCH('DL 1'!A176,#REF!,0)),0,J175*2)</f>
        <v>0</v>
      </c>
      <c r="N175" t="e">
        <f>#REF!</f>
        <v>#REF!</v>
      </c>
      <c r="O175">
        <f>_xlfn.IFNA(VLOOKUP(RIGHT(VLOOKUP(TRIM('DL 1'!G176),Data!$A:$B,2,0),1),Data!$L$23:$M$30,2,0),0)</f>
        <v>0</v>
      </c>
      <c r="P175">
        <f t="shared" si="30"/>
        <v>0</v>
      </c>
      <c r="Q175" s="7" t="b">
        <f t="shared" si="21"/>
        <v>0</v>
      </c>
      <c r="R175" s="27">
        <f>INCENTIVE!$E$8</f>
        <v>130000000</v>
      </c>
      <c r="S175">
        <f>'DL 1'!D176</f>
        <v>0</v>
      </c>
      <c r="T175" t="str">
        <f t="shared" si="22"/>
        <v>1</v>
      </c>
      <c r="V175" t="str">
        <f t="shared" si="23"/>
        <v>1</v>
      </c>
      <c r="W175">
        <f t="shared" si="24"/>
        <v>0.25</v>
      </c>
      <c r="X175" s="7">
        <f>'DL 1'!E176</f>
        <v>0</v>
      </c>
      <c r="Y175" s="69">
        <f>'DL 1'!G176</f>
        <v>0</v>
      </c>
      <c r="AC175" t="str">
        <f>IFERROR(VLOOKUP(Y175,Data!$G$65:$K$79,2,0) *X175,"")</f>
        <v/>
      </c>
      <c r="AD175" s="7">
        <f t="shared" si="25"/>
        <v>0</v>
      </c>
      <c r="AE175">
        <f>'DL 1'!F176</f>
        <v>0</v>
      </c>
      <c r="AF175" t="str">
        <f>IFERROR(VLOOKUP(Y175,Data!$G$65:$K$79,4,0),"")</f>
        <v/>
      </c>
      <c r="AG175" s="51" t="e">
        <f>#REF!</f>
        <v>#REF!</v>
      </c>
      <c r="AK175">
        <f t="shared" si="26"/>
        <v>0</v>
      </c>
      <c r="AL175">
        <f t="shared" si="27"/>
        <v>0</v>
      </c>
      <c r="AM175" s="70">
        <f t="shared" si="28"/>
        <v>0</v>
      </c>
      <c r="AN175" s="7" t="b">
        <f t="shared" si="29"/>
        <v>0</v>
      </c>
    </row>
    <row r="176" spans="1:40" x14ac:dyDescent="0.3">
      <c r="A176" s="50">
        <f>IF(D176="A",_xlfn.IFNA(INDEX(Data!$H$24:$J$28,MATCH('DL 1'!E177,Data!$G$24:$G$28,1),MATCH('DL 1'!D177,Data!$H$23:$J$23,1)),0),0)</f>
        <v>0</v>
      </c>
      <c r="B176">
        <f>IF('DL 1'!F177="Y",Q176,0)</f>
        <v>0</v>
      </c>
      <c r="C176" t="e">
        <f>_xlfn.IFNA(INDEX(Data!$H$24:$J$28,MATCH(#REF!,Data!$G$24:$G$28,1),MATCH(#REF!,Data!$H$23:$J$23,1)),0)</f>
        <v>#REF!</v>
      </c>
      <c r="D176" t="str">
        <f>RIGHT(TRIM('DL 1'!G177),1)</f>
        <v/>
      </c>
      <c r="E176" s="8">
        <f>'DL 1'!E177*'DL 1'!D177</f>
        <v>0</v>
      </c>
      <c r="F176" t="str">
        <f>_xlfn.IFNA(VLOOKUP(TRIM('DL 1'!G177),Data!$A:$C,3,0),"")</f>
        <v/>
      </c>
      <c r="G176" s="7">
        <f>'DL 1'!E177</f>
        <v>0</v>
      </c>
      <c r="H176" s="21">
        <f>_xlfn.IFNA(VLOOKUP(TRIM('DL 1'!G177),Data!$A:$D,4,0),0)</f>
        <v>0</v>
      </c>
      <c r="I176">
        <f>_xlfn.IFNA(INDEX(Data!$G$5:$K$10,MATCH('DL 1'!D177,Data!$F$5:$F$10,1),MATCH(_xlfn.SINGLE(#REF!),Data!$G$4:$K$4,1)),0)</f>
        <v>0</v>
      </c>
      <c r="J176">
        <f>_xlfn.IFNA(IF(VLOOKUP(TRIM('DL 1'!G177),Data!$A:$C,3,0)="ST1",H176*I176*G176,IF(VLOOKUP(TRIM('DL 1'!G177),Data!$A:$C,3,0)="IR0",H176*G176,MIN(H176:I176)*G176)),0)</f>
        <v>0</v>
      </c>
      <c r="K176" t="e">
        <f>_xlfn.IFNA(VLOOKUP(TRIM(#REF!),Data!$A:$D,4,0)*#REF!,0)</f>
        <v>#REF!</v>
      </c>
      <c r="L176">
        <f>IF(TRIM('DL 1'!G177)="EDCLNHT0IRNLI",20000,0)</f>
        <v>0</v>
      </c>
      <c r="M176">
        <f>IF(ISERROR(MATCH('DL 1'!A177,#REF!,0)),0,J176*2)</f>
        <v>0</v>
      </c>
      <c r="N176" t="e">
        <f>#REF!</f>
        <v>#REF!</v>
      </c>
      <c r="O176">
        <f>_xlfn.IFNA(VLOOKUP(RIGHT(VLOOKUP(TRIM('DL 1'!G177),Data!$A:$B,2,0),1),Data!$L$23:$M$30,2,0),0)</f>
        <v>0</v>
      </c>
      <c r="P176">
        <f t="shared" si="30"/>
        <v>0</v>
      </c>
      <c r="Q176" s="7" t="b">
        <f t="shared" si="21"/>
        <v>0</v>
      </c>
      <c r="R176" s="27">
        <f>INCENTIVE!$E$8</f>
        <v>130000000</v>
      </c>
      <c r="S176">
        <f>'DL 1'!D177</f>
        <v>0</v>
      </c>
      <c r="T176" t="str">
        <f t="shared" si="22"/>
        <v>1</v>
      </c>
      <c r="V176" t="str">
        <f t="shared" si="23"/>
        <v>1</v>
      </c>
      <c r="W176">
        <f t="shared" si="24"/>
        <v>0.25</v>
      </c>
      <c r="X176" s="7">
        <f>'DL 1'!E177</f>
        <v>0</v>
      </c>
      <c r="Y176" s="69">
        <f>'DL 1'!G177</f>
        <v>0</v>
      </c>
      <c r="AC176" t="str">
        <f>IFERROR(VLOOKUP(Y176,Data!$G$65:$K$79,2,0) *X176,"")</f>
        <v/>
      </c>
      <c r="AD176" s="7">
        <f t="shared" si="25"/>
        <v>0</v>
      </c>
      <c r="AE176">
        <f>'DL 1'!F177</f>
        <v>0</v>
      </c>
      <c r="AF176" t="str">
        <f>IFERROR(VLOOKUP(Y176,Data!$G$65:$K$79,4,0),"")</f>
        <v/>
      </c>
      <c r="AG176" s="51" t="e">
        <f>#REF!</f>
        <v>#REF!</v>
      </c>
      <c r="AK176">
        <f t="shared" si="26"/>
        <v>0</v>
      </c>
      <c r="AL176">
        <f t="shared" si="27"/>
        <v>0</v>
      </c>
      <c r="AM176" s="70">
        <f t="shared" si="28"/>
        <v>0</v>
      </c>
      <c r="AN176" s="7" t="b">
        <f t="shared" si="29"/>
        <v>0</v>
      </c>
    </row>
    <row r="177" spans="1:40" x14ac:dyDescent="0.3">
      <c r="A177" s="50">
        <f>IF(D177="A",_xlfn.IFNA(INDEX(Data!$H$24:$J$28,MATCH('DL 1'!E178,Data!$G$24:$G$28,1),MATCH('DL 1'!D178,Data!$H$23:$J$23,1)),0),0)</f>
        <v>0</v>
      </c>
      <c r="B177">
        <f>IF('DL 1'!F178="Y",Q177,0)</f>
        <v>0</v>
      </c>
      <c r="C177" t="e">
        <f>_xlfn.IFNA(INDEX(Data!$H$24:$J$28,MATCH(#REF!,Data!$G$24:$G$28,1),MATCH(#REF!,Data!$H$23:$J$23,1)),0)</f>
        <v>#REF!</v>
      </c>
      <c r="D177" t="str">
        <f>RIGHT(TRIM('DL 1'!G178),1)</f>
        <v/>
      </c>
      <c r="E177" s="8">
        <f>'DL 1'!E178*'DL 1'!D178</f>
        <v>0</v>
      </c>
      <c r="F177" t="str">
        <f>_xlfn.IFNA(VLOOKUP(TRIM('DL 1'!G178),Data!$A:$C,3,0),"")</f>
        <v/>
      </c>
      <c r="G177" s="7">
        <f>'DL 1'!E178</f>
        <v>0</v>
      </c>
      <c r="H177" s="21">
        <f>_xlfn.IFNA(VLOOKUP(TRIM('DL 1'!G178),Data!$A:$D,4,0),0)</f>
        <v>0</v>
      </c>
      <c r="I177">
        <f>_xlfn.IFNA(INDEX(Data!$G$5:$K$10,MATCH('DL 1'!D178,Data!$F$5:$F$10,1),MATCH(_xlfn.SINGLE(#REF!),Data!$G$4:$K$4,1)),0)</f>
        <v>0</v>
      </c>
      <c r="J177">
        <f>_xlfn.IFNA(IF(VLOOKUP(TRIM('DL 1'!G178),Data!$A:$C,3,0)="ST1",H177*I177*G177,IF(VLOOKUP(TRIM('DL 1'!G178),Data!$A:$C,3,0)="IR0",H177*G177,MIN(H177:I177)*G177)),0)</f>
        <v>0</v>
      </c>
      <c r="K177" t="e">
        <f>_xlfn.IFNA(VLOOKUP(TRIM(#REF!),Data!$A:$D,4,0)*#REF!,0)</f>
        <v>#REF!</v>
      </c>
      <c r="L177">
        <f>IF(TRIM('DL 1'!G178)="EDCLNHT0IRNLI",20000,0)</f>
        <v>0</v>
      </c>
      <c r="M177">
        <f>IF(ISERROR(MATCH('DL 1'!A178,#REF!,0)),0,J177*2)</f>
        <v>0</v>
      </c>
      <c r="N177" t="e">
        <f>#REF!</f>
        <v>#REF!</v>
      </c>
      <c r="O177">
        <f>_xlfn.IFNA(VLOOKUP(RIGHT(VLOOKUP(TRIM('DL 1'!G178),Data!$A:$B,2,0),1),Data!$L$23:$M$30,2,0),0)</f>
        <v>0</v>
      </c>
      <c r="P177">
        <f t="shared" si="30"/>
        <v>0</v>
      </c>
      <c r="Q177" s="7" t="b">
        <f t="shared" si="21"/>
        <v>0</v>
      </c>
      <c r="R177" s="27">
        <f>INCENTIVE!$E$8</f>
        <v>130000000</v>
      </c>
      <c r="S177">
        <f>'DL 1'!D178</f>
        <v>0</v>
      </c>
      <c r="T177" t="str">
        <f t="shared" si="22"/>
        <v>1</v>
      </c>
      <c r="V177" t="str">
        <f t="shared" si="23"/>
        <v>1</v>
      </c>
      <c r="W177">
        <f t="shared" si="24"/>
        <v>0.25</v>
      </c>
      <c r="X177" s="7">
        <f>'DL 1'!E178</f>
        <v>0</v>
      </c>
      <c r="Y177" s="69">
        <f>'DL 1'!G178</f>
        <v>0</v>
      </c>
      <c r="AC177" t="str">
        <f>IFERROR(VLOOKUP(Y177,Data!$G$65:$K$79,2,0) *X177,"")</f>
        <v/>
      </c>
      <c r="AD177" s="7">
        <f t="shared" si="25"/>
        <v>0</v>
      </c>
      <c r="AE177">
        <f>'DL 1'!F178</f>
        <v>0</v>
      </c>
      <c r="AF177" t="str">
        <f>IFERROR(VLOOKUP(Y177,Data!$G$65:$K$79,4,0),"")</f>
        <v/>
      </c>
      <c r="AG177" s="51" t="e">
        <f>#REF!</f>
        <v>#REF!</v>
      </c>
      <c r="AK177">
        <f t="shared" si="26"/>
        <v>0</v>
      </c>
      <c r="AL177">
        <f t="shared" si="27"/>
        <v>0</v>
      </c>
      <c r="AM177" s="70">
        <f t="shared" si="28"/>
        <v>0</v>
      </c>
      <c r="AN177" s="7" t="b">
        <f t="shared" si="29"/>
        <v>0</v>
      </c>
    </row>
    <row r="178" spans="1:40" x14ac:dyDescent="0.3">
      <c r="A178" s="50">
        <f>IF(D178="A",_xlfn.IFNA(INDEX(Data!$H$24:$J$28,MATCH('DL 1'!E179,Data!$G$24:$G$28,1),MATCH('DL 1'!D179,Data!$H$23:$J$23,1)),0),0)</f>
        <v>0</v>
      </c>
      <c r="B178">
        <f>IF('DL 1'!F179="Y",Q178,0)</f>
        <v>0</v>
      </c>
      <c r="C178" t="e">
        <f>_xlfn.IFNA(INDEX(Data!$H$24:$J$28,MATCH(#REF!,Data!$G$24:$G$28,1),MATCH(#REF!,Data!$H$23:$J$23,1)),0)</f>
        <v>#REF!</v>
      </c>
      <c r="D178" t="str">
        <f>RIGHT(TRIM('DL 1'!G179),1)</f>
        <v/>
      </c>
      <c r="E178" s="8">
        <f>'DL 1'!E179*'DL 1'!D179</f>
        <v>0</v>
      </c>
      <c r="F178" t="str">
        <f>_xlfn.IFNA(VLOOKUP(TRIM('DL 1'!G179),Data!$A:$C,3,0),"")</f>
        <v/>
      </c>
      <c r="G178" s="7">
        <f>'DL 1'!E179</f>
        <v>0</v>
      </c>
      <c r="H178" s="21">
        <f>_xlfn.IFNA(VLOOKUP(TRIM('DL 1'!G179),Data!$A:$D,4,0),0)</f>
        <v>0</v>
      </c>
      <c r="I178">
        <f>_xlfn.IFNA(INDEX(Data!$G$5:$K$10,MATCH('DL 1'!D179,Data!$F$5:$F$10,1),MATCH(_xlfn.SINGLE(#REF!),Data!$G$4:$K$4,1)),0)</f>
        <v>0</v>
      </c>
      <c r="J178">
        <f>_xlfn.IFNA(IF(VLOOKUP(TRIM('DL 1'!G179),Data!$A:$C,3,0)="ST1",H178*I178*G178,IF(VLOOKUP(TRIM('DL 1'!G179),Data!$A:$C,3,0)="IR0",H178*G178,MIN(H178:I178)*G178)),0)</f>
        <v>0</v>
      </c>
      <c r="K178" t="e">
        <f>_xlfn.IFNA(VLOOKUP(TRIM(#REF!),Data!$A:$D,4,0)*#REF!,0)</f>
        <v>#REF!</v>
      </c>
      <c r="L178">
        <f>IF(TRIM('DL 1'!G179)="EDCLNHT0IRNLI",20000,0)</f>
        <v>0</v>
      </c>
      <c r="M178">
        <f>IF(ISERROR(MATCH('DL 1'!A179,#REF!,0)),0,J178*2)</f>
        <v>0</v>
      </c>
      <c r="N178" t="e">
        <f>#REF!</f>
        <v>#REF!</v>
      </c>
      <c r="O178">
        <f>_xlfn.IFNA(VLOOKUP(RIGHT(VLOOKUP(TRIM('DL 1'!G179),Data!$A:$B,2,0),1),Data!$L$23:$M$30,2,0),0)</f>
        <v>0</v>
      </c>
      <c r="P178">
        <f t="shared" si="30"/>
        <v>0</v>
      </c>
      <c r="Q178" s="7" t="b">
        <f t="shared" si="21"/>
        <v>0</v>
      </c>
      <c r="R178" s="27">
        <f>INCENTIVE!$E$8</f>
        <v>130000000</v>
      </c>
      <c r="S178">
        <f>'DL 1'!D179</f>
        <v>0</v>
      </c>
      <c r="T178" t="str">
        <f t="shared" si="22"/>
        <v>1</v>
      </c>
      <c r="V178" t="str">
        <f t="shared" si="23"/>
        <v>1</v>
      </c>
      <c r="W178">
        <f t="shared" si="24"/>
        <v>0.25</v>
      </c>
      <c r="X178" s="7">
        <f>'DL 1'!E179</f>
        <v>0</v>
      </c>
      <c r="Y178" s="69">
        <f>'DL 1'!G179</f>
        <v>0</v>
      </c>
      <c r="AC178" t="str">
        <f>IFERROR(VLOOKUP(Y178,Data!$G$65:$K$79,2,0) *X178,"")</f>
        <v/>
      </c>
      <c r="AD178" s="7">
        <f t="shared" si="25"/>
        <v>0</v>
      </c>
      <c r="AE178">
        <f>'DL 1'!F179</f>
        <v>0</v>
      </c>
      <c r="AF178" t="str">
        <f>IFERROR(VLOOKUP(Y178,Data!$G$65:$K$79,4,0),"")</f>
        <v/>
      </c>
      <c r="AG178" s="51" t="e">
        <f>#REF!</f>
        <v>#REF!</v>
      </c>
      <c r="AK178">
        <f t="shared" si="26"/>
        <v>0</v>
      </c>
      <c r="AL178">
        <f t="shared" si="27"/>
        <v>0</v>
      </c>
      <c r="AM178" s="70">
        <f t="shared" si="28"/>
        <v>0</v>
      </c>
      <c r="AN178" s="7" t="b">
        <f t="shared" si="29"/>
        <v>0</v>
      </c>
    </row>
    <row r="179" spans="1:40" x14ac:dyDescent="0.3">
      <c r="A179" s="50">
        <f>IF(D179="A",_xlfn.IFNA(INDEX(Data!$H$24:$J$28,MATCH('DL 1'!E180,Data!$G$24:$G$28,1),MATCH('DL 1'!D180,Data!$H$23:$J$23,1)),0),0)</f>
        <v>0</v>
      </c>
      <c r="B179">
        <f>IF('DL 1'!F180="Y",Q179,0)</f>
        <v>0</v>
      </c>
      <c r="C179" t="e">
        <f>_xlfn.IFNA(INDEX(Data!$H$24:$J$28,MATCH(#REF!,Data!$G$24:$G$28,1),MATCH(#REF!,Data!$H$23:$J$23,1)),0)</f>
        <v>#REF!</v>
      </c>
      <c r="D179" t="str">
        <f>RIGHT(TRIM('DL 1'!G180),1)</f>
        <v/>
      </c>
      <c r="E179" s="8">
        <f>'DL 1'!E180*'DL 1'!D180</f>
        <v>0</v>
      </c>
      <c r="F179" t="str">
        <f>_xlfn.IFNA(VLOOKUP(TRIM('DL 1'!G180),Data!$A:$C,3,0),"")</f>
        <v/>
      </c>
      <c r="G179" s="7">
        <f>'DL 1'!E180</f>
        <v>0</v>
      </c>
      <c r="H179" s="21">
        <f>_xlfn.IFNA(VLOOKUP(TRIM('DL 1'!G180),Data!$A:$D,4,0),0)</f>
        <v>0</v>
      </c>
      <c r="I179">
        <f>_xlfn.IFNA(INDEX(Data!$G$5:$K$10,MATCH('DL 1'!D180,Data!$F$5:$F$10,1),MATCH(_xlfn.SINGLE(#REF!),Data!$G$4:$K$4,1)),0)</f>
        <v>0</v>
      </c>
      <c r="J179">
        <f>_xlfn.IFNA(IF(VLOOKUP(TRIM('DL 1'!G180),Data!$A:$C,3,0)="ST1",H179*I179*G179,IF(VLOOKUP(TRIM('DL 1'!G180),Data!$A:$C,3,0)="IR0",H179*G179,MIN(H179:I179)*G179)),0)</f>
        <v>0</v>
      </c>
      <c r="K179" t="e">
        <f>_xlfn.IFNA(VLOOKUP(TRIM(#REF!),Data!$A:$D,4,0)*#REF!,0)</f>
        <v>#REF!</v>
      </c>
      <c r="L179">
        <f>IF(TRIM('DL 1'!G180)="EDCLNHT0IRNLI",20000,0)</f>
        <v>0</v>
      </c>
      <c r="M179">
        <f>IF(ISERROR(MATCH('DL 1'!A180,#REF!,0)),0,J179*2)</f>
        <v>0</v>
      </c>
      <c r="N179" t="e">
        <f>#REF!</f>
        <v>#REF!</v>
      </c>
      <c r="O179">
        <f>_xlfn.IFNA(VLOOKUP(RIGHT(VLOOKUP(TRIM('DL 1'!G180),Data!$A:$B,2,0),1),Data!$L$23:$M$30,2,0),0)</f>
        <v>0</v>
      </c>
      <c r="P179">
        <f t="shared" si="30"/>
        <v>0</v>
      </c>
      <c r="Q179" s="7" t="b">
        <f t="shared" si="21"/>
        <v>0</v>
      </c>
      <c r="R179" s="27">
        <f>INCENTIVE!$E$8</f>
        <v>130000000</v>
      </c>
      <c r="S179">
        <f>'DL 1'!D180</f>
        <v>0</v>
      </c>
      <c r="T179" t="str">
        <f t="shared" si="22"/>
        <v>1</v>
      </c>
      <c r="V179" t="str">
        <f t="shared" si="23"/>
        <v>1</v>
      </c>
      <c r="W179">
        <f t="shared" si="24"/>
        <v>0.25</v>
      </c>
      <c r="X179" s="7">
        <f>'DL 1'!E180</f>
        <v>0</v>
      </c>
      <c r="Y179" s="69">
        <f>'DL 1'!G180</f>
        <v>0</v>
      </c>
      <c r="AC179" t="str">
        <f>IFERROR(VLOOKUP(Y179,Data!$G$65:$K$79,2,0) *X179,"")</f>
        <v/>
      </c>
      <c r="AD179" s="7">
        <f t="shared" si="25"/>
        <v>0</v>
      </c>
      <c r="AE179">
        <f>'DL 1'!F180</f>
        <v>0</v>
      </c>
      <c r="AF179" t="str">
        <f>IFERROR(VLOOKUP(Y179,Data!$G$65:$K$79,4,0),"")</f>
        <v/>
      </c>
      <c r="AG179" s="51" t="e">
        <f>#REF!</f>
        <v>#REF!</v>
      </c>
      <c r="AK179">
        <f t="shared" si="26"/>
        <v>0</v>
      </c>
      <c r="AL179">
        <f t="shared" si="27"/>
        <v>0</v>
      </c>
      <c r="AM179" s="70">
        <f t="shared" si="28"/>
        <v>0</v>
      </c>
      <c r="AN179" s="7" t="b">
        <f t="shared" si="29"/>
        <v>0</v>
      </c>
    </row>
    <row r="180" spans="1:40" x14ac:dyDescent="0.3">
      <c r="A180" s="50">
        <f>IF(D180="A",_xlfn.IFNA(INDEX(Data!$H$24:$J$28,MATCH('DL 1'!E181,Data!$G$24:$G$28,1),MATCH('DL 1'!D181,Data!$H$23:$J$23,1)),0),0)</f>
        <v>0</v>
      </c>
      <c r="B180">
        <f>IF('DL 1'!F181="Y",Q180,0)</f>
        <v>0</v>
      </c>
      <c r="C180" t="e">
        <f>_xlfn.IFNA(INDEX(Data!$H$24:$J$28,MATCH(#REF!,Data!$G$24:$G$28,1),MATCH(#REF!,Data!$H$23:$J$23,1)),0)</f>
        <v>#REF!</v>
      </c>
      <c r="D180" t="str">
        <f>RIGHT(TRIM('DL 1'!G181),1)</f>
        <v/>
      </c>
      <c r="E180" s="8">
        <f>'DL 1'!E181*'DL 1'!D181</f>
        <v>0</v>
      </c>
      <c r="F180" t="str">
        <f>_xlfn.IFNA(VLOOKUP(TRIM('DL 1'!G181),Data!$A:$C,3,0),"")</f>
        <v/>
      </c>
      <c r="G180" s="7">
        <f>'DL 1'!E181</f>
        <v>0</v>
      </c>
      <c r="H180" s="21">
        <f>_xlfn.IFNA(VLOOKUP(TRIM('DL 1'!G181),Data!$A:$D,4,0),0)</f>
        <v>0</v>
      </c>
      <c r="I180">
        <f>_xlfn.IFNA(INDEX(Data!$G$5:$K$10,MATCH('DL 1'!D181,Data!$F$5:$F$10,1),MATCH(_xlfn.SINGLE(#REF!),Data!$G$4:$K$4,1)),0)</f>
        <v>0</v>
      </c>
      <c r="J180">
        <f>_xlfn.IFNA(IF(VLOOKUP(TRIM('DL 1'!G181),Data!$A:$C,3,0)="ST1",H180*I180*G180,IF(VLOOKUP(TRIM('DL 1'!G181),Data!$A:$C,3,0)="IR0",H180*G180,MIN(H180:I180)*G180)),0)</f>
        <v>0</v>
      </c>
      <c r="K180" t="e">
        <f>_xlfn.IFNA(VLOOKUP(TRIM(#REF!),Data!$A:$D,4,0)*#REF!,0)</f>
        <v>#REF!</v>
      </c>
      <c r="L180">
        <f>IF(TRIM('DL 1'!G181)="EDCLNHT0IRNLI",20000,0)</f>
        <v>0</v>
      </c>
      <c r="M180">
        <f>IF(ISERROR(MATCH('DL 1'!A181,#REF!,0)),0,J180*2)</f>
        <v>0</v>
      </c>
      <c r="N180" t="e">
        <f>#REF!</f>
        <v>#REF!</v>
      </c>
      <c r="O180">
        <f>_xlfn.IFNA(VLOOKUP(RIGHT(VLOOKUP(TRIM('DL 1'!G181),Data!$A:$B,2,0),1),Data!$L$23:$M$30,2,0),0)</f>
        <v>0</v>
      </c>
      <c r="P180">
        <f t="shared" si="30"/>
        <v>0</v>
      </c>
      <c r="Q180" s="7" t="b">
        <f t="shared" si="21"/>
        <v>0</v>
      </c>
      <c r="R180" s="27">
        <f>INCENTIVE!$E$8</f>
        <v>130000000</v>
      </c>
      <c r="S180">
        <f>'DL 1'!D181</f>
        <v>0</v>
      </c>
      <c r="T180" t="str">
        <f t="shared" si="22"/>
        <v>1</v>
      </c>
      <c r="V180" t="str">
        <f t="shared" si="23"/>
        <v>1</v>
      </c>
      <c r="W180">
        <f t="shared" si="24"/>
        <v>0.25</v>
      </c>
      <c r="X180" s="7">
        <f>'DL 1'!E181</f>
        <v>0</v>
      </c>
      <c r="Y180" s="69">
        <f>'DL 1'!G181</f>
        <v>0</v>
      </c>
      <c r="AC180" t="str">
        <f>IFERROR(VLOOKUP(Y180,Data!$G$65:$K$79,2,0) *X180,"")</f>
        <v/>
      </c>
      <c r="AD180" s="7">
        <f t="shared" si="25"/>
        <v>0</v>
      </c>
      <c r="AE180">
        <f>'DL 1'!F181</f>
        <v>0</v>
      </c>
      <c r="AF180" t="str">
        <f>IFERROR(VLOOKUP(Y180,Data!$G$65:$K$79,4,0),"")</f>
        <v/>
      </c>
      <c r="AG180" s="51" t="e">
        <f>#REF!</f>
        <v>#REF!</v>
      </c>
      <c r="AK180">
        <f t="shared" si="26"/>
        <v>0</v>
      </c>
      <c r="AL180">
        <f t="shared" si="27"/>
        <v>0</v>
      </c>
      <c r="AM180" s="70">
        <f t="shared" si="28"/>
        <v>0</v>
      </c>
      <c r="AN180" s="7" t="b">
        <f t="shared" si="29"/>
        <v>0</v>
      </c>
    </row>
    <row r="181" spans="1:40" x14ac:dyDescent="0.3">
      <c r="A181" s="50">
        <f>IF(D181="A",_xlfn.IFNA(INDEX(Data!$H$24:$J$28,MATCH('DL 1'!E182,Data!$G$24:$G$28,1),MATCH('DL 1'!D182,Data!$H$23:$J$23,1)),0),0)</f>
        <v>0</v>
      </c>
      <c r="B181">
        <f>IF('DL 1'!F182="Y",Q181,0)</f>
        <v>0</v>
      </c>
      <c r="C181" t="e">
        <f>_xlfn.IFNA(INDEX(Data!$H$24:$J$28,MATCH(#REF!,Data!$G$24:$G$28,1),MATCH(#REF!,Data!$H$23:$J$23,1)),0)</f>
        <v>#REF!</v>
      </c>
      <c r="D181" t="str">
        <f>RIGHT(TRIM('DL 1'!G182),1)</f>
        <v/>
      </c>
      <c r="E181" s="8">
        <f>'DL 1'!E182*'DL 1'!D182</f>
        <v>0</v>
      </c>
      <c r="F181" t="str">
        <f>_xlfn.IFNA(VLOOKUP(TRIM('DL 1'!G182),Data!$A:$C,3,0),"")</f>
        <v/>
      </c>
      <c r="G181" s="7">
        <f>'DL 1'!E182</f>
        <v>0</v>
      </c>
      <c r="H181" s="21">
        <f>_xlfn.IFNA(VLOOKUP(TRIM('DL 1'!G182),Data!$A:$D,4,0),0)</f>
        <v>0</v>
      </c>
      <c r="I181">
        <f>_xlfn.IFNA(INDEX(Data!$G$5:$K$10,MATCH('DL 1'!D182,Data!$F$5:$F$10,1),MATCH(_xlfn.SINGLE(#REF!),Data!$G$4:$K$4,1)),0)</f>
        <v>0</v>
      </c>
      <c r="J181">
        <f>_xlfn.IFNA(IF(VLOOKUP(TRIM('DL 1'!G182),Data!$A:$C,3,0)="ST1",H181*I181*G181,IF(VLOOKUP(TRIM('DL 1'!G182),Data!$A:$C,3,0)="IR0",H181*G181,MIN(H181:I181)*G181)),0)</f>
        <v>0</v>
      </c>
      <c r="K181" t="e">
        <f>_xlfn.IFNA(VLOOKUP(TRIM(#REF!),Data!$A:$D,4,0)*#REF!,0)</f>
        <v>#REF!</v>
      </c>
      <c r="L181">
        <f>IF(TRIM('DL 1'!G182)="EDCLNHT0IRNLI",20000,0)</f>
        <v>0</v>
      </c>
      <c r="M181">
        <f>IF(ISERROR(MATCH('DL 1'!A182,#REF!,0)),0,J181*2)</f>
        <v>0</v>
      </c>
      <c r="N181" t="e">
        <f>#REF!</f>
        <v>#REF!</v>
      </c>
      <c r="O181">
        <f>_xlfn.IFNA(VLOOKUP(RIGHT(VLOOKUP(TRIM('DL 1'!G182),Data!$A:$B,2,0),1),Data!$L$23:$M$30,2,0),0)</f>
        <v>0</v>
      </c>
      <c r="P181">
        <f t="shared" si="30"/>
        <v>0</v>
      </c>
      <c r="Q181" s="7" t="b">
        <f t="shared" si="21"/>
        <v>0</v>
      </c>
      <c r="R181" s="27">
        <f>INCENTIVE!$E$8</f>
        <v>130000000</v>
      </c>
      <c r="S181">
        <f>'DL 1'!D182</f>
        <v>0</v>
      </c>
      <c r="T181" t="str">
        <f t="shared" si="22"/>
        <v>1</v>
      </c>
      <c r="V181" t="str">
        <f t="shared" si="23"/>
        <v>1</v>
      </c>
      <c r="W181">
        <f t="shared" si="24"/>
        <v>0.25</v>
      </c>
      <c r="X181" s="7">
        <f>'DL 1'!E182</f>
        <v>0</v>
      </c>
      <c r="Y181" s="69">
        <f>'DL 1'!G182</f>
        <v>0</v>
      </c>
      <c r="AC181" t="str">
        <f>IFERROR(VLOOKUP(Y181,Data!$G$65:$K$79,2,0) *X181,"")</f>
        <v/>
      </c>
      <c r="AD181" s="7">
        <f t="shared" si="25"/>
        <v>0</v>
      </c>
      <c r="AE181">
        <f>'DL 1'!F182</f>
        <v>0</v>
      </c>
      <c r="AF181" t="str">
        <f>IFERROR(VLOOKUP(Y181,Data!$G$65:$K$79,4,0),"")</f>
        <v/>
      </c>
      <c r="AG181" s="51" t="e">
        <f>#REF!</f>
        <v>#REF!</v>
      </c>
      <c r="AK181">
        <f t="shared" si="26"/>
        <v>0</v>
      </c>
      <c r="AL181">
        <f t="shared" si="27"/>
        <v>0</v>
      </c>
      <c r="AM181" s="70">
        <f t="shared" si="28"/>
        <v>0</v>
      </c>
      <c r="AN181" s="7" t="b">
        <f t="shared" si="29"/>
        <v>0</v>
      </c>
    </row>
    <row r="182" spans="1:40" x14ac:dyDescent="0.3">
      <c r="A182" s="50">
        <f>IF(D182="A",_xlfn.IFNA(INDEX(Data!$H$24:$J$28,MATCH('DL 1'!E183,Data!$G$24:$G$28,1),MATCH('DL 1'!D183,Data!$H$23:$J$23,1)),0),0)</f>
        <v>0</v>
      </c>
      <c r="B182">
        <f>IF('DL 1'!F183="Y",Q182,0)</f>
        <v>0</v>
      </c>
      <c r="C182" t="e">
        <f>_xlfn.IFNA(INDEX(Data!$H$24:$J$28,MATCH(#REF!,Data!$G$24:$G$28,1),MATCH(#REF!,Data!$H$23:$J$23,1)),0)</f>
        <v>#REF!</v>
      </c>
      <c r="D182" t="str">
        <f>RIGHT(TRIM('DL 1'!G183),1)</f>
        <v/>
      </c>
      <c r="E182" s="8">
        <f>'DL 1'!E183*'DL 1'!D183</f>
        <v>0</v>
      </c>
      <c r="F182" t="str">
        <f>_xlfn.IFNA(VLOOKUP(TRIM('DL 1'!G183),Data!$A:$C,3,0),"")</f>
        <v/>
      </c>
      <c r="G182" s="7">
        <f>'DL 1'!E183</f>
        <v>0</v>
      </c>
      <c r="H182" s="21">
        <f>_xlfn.IFNA(VLOOKUP(TRIM('DL 1'!G183),Data!$A:$D,4,0),0)</f>
        <v>0</v>
      </c>
      <c r="I182">
        <f>_xlfn.IFNA(INDEX(Data!$G$5:$K$10,MATCH('DL 1'!D183,Data!$F$5:$F$10,1),MATCH(_xlfn.SINGLE(#REF!),Data!$G$4:$K$4,1)),0)</f>
        <v>0</v>
      </c>
      <c r="J182">
        <f>_xlfn.IFNA(IF(VLOOKUP(TRIM('DL 1'!G183),Data!$A:$C,3,0)="ST1",H182*I182*G182,IF(VLOOKUP(TRIM('DL 1'!G183),Data!$A:$C,3,0)="IR0",H182*G182,MIN(H182:I182)*G182)),0)</f>
        <v>0</v>
      </c>
      <c r="K182" t="e">
        <f>_xlfn.IFNA(VLOOKUP(TRIM(#REF!),Data!$A:$D,4,0)*#REF!,0)</f>
        <v>#REF!</v>
      </c>
      <c r="L182">
        <f>IF(TRIM('DL 1'!G183)="EDCLNHT0IRNLI",20000,0)</f>
        <v>0</v>
      </c>
      <c r="M182">
        <f>IF(ISERROR(MATCH('DL 1'!A183,#REF!,0)),0,J182*2)</f>
        <v>0</v>
      </c>
      <c r="N182" t="e">
        <f>#REF!</f>
        <v>#REF!</v>
      </c>
      <c r="O182">
        <f>_xlfn.IFNA(VLOOKUP(RIGHT(VLOOKUP(TRIM('DL 1'!G183),Data!$A:$B,2,0),1),Data!$L$23:$M$30,2,0),0)</f>
        <v>0</v>
      </c>
      <c r="P182">
        <f t="shared" si="30"/>
        <v>0</v>
      </c>
      <c r="Q182" s="7" t="b">
        <f t="shared" si="21"/>
        <v>0</v>
      </c>
      <c r="R182" s="27">
        <f>INCENTIVE!$E$8</f>
        <v>130000000</v>
      </c>
      <c r="S182">
        <f>'DL 1'!D183</f>
        <v>0</v>
      </c>
      <c r="T182" t="str">
        <f t="shared" si="22"/>
        <v>1</v>
      </c>
      <c r="V182" t="str">
        <f t="shared" si="23"/>
        <v>1</v>
      </c>
      <c r="W182">
        <f t="shared" si="24"/>
        <v>0.25</v>
      </c>
      <c r="X182" s="7">
        <f>'DL 1'!E183</f>
        <v>0</v>
      </c>
      <c r="Y182" s="69">
        <f>'DL 1'!G183</f>
        <v>0</v>
      </c>
      <c r="AC182" t="str">
        <f>IFERROR(VLOOKUP(Y182,Data!$G$65:$K$79,2,0) *X182,"")</f>
        <v/>
      </c>
      <c r="AD182" s="7">
        <f t="shared" si="25"/>
        <v>0</v>
      </c>
      <c r="AE182">
        <f>'DL 1'!F183</f>
        <v>0</v>
      </c>
      <c r="AF182" t="str">
        <f>IFERROR(VLOOKUP(Y182,Data!$G$65:$K$79,4,0),"")</f>
        <v/>
      </c>
      <c r="AG182" s="51" t="e">
        <f>#REF!</f>
        <v>#REF!</v>
      </c>
      <c r="AK182">
        <f t="shared" si="26"/>
        <v>0</v>
      </c>
      <c r="AL182">
        <f t="shared" si="27"/>
        <v>0</v>
      </c>
      <c r="AM182" s="70">
        <f t="shared" si="28"/>
        <v>0</v>
      </c>
      <c r="AN182" s="7" t="b">
        <f t="shared" si="29"/>
        <v>0</v>
      </c>
    </row>
    <row r="183" spans="1:40" x14ac:dyDescent="0.3">
      <c r="A183" s="50">
        <f>IF(D183="A",_xlfn.IFNA(INDEX(Data!$H$24:$J$28,MATCH('DL 1'!E184,Data!$G$24:$G$28,1),MATCH('DL 1'!D184,Data!$H$23:$J$23,1)),0),0)</f>
        <v>0</v>
      </c>
      <c r="B183">
        <f>IF('DL 1'!F184="Y",Q183,0)</f>
        <v>0</v>
      </c>
      <c r="C183" t="e">
        <f>_xlfn.IFNA(INDEX(Data!$H$24:$J$28,MATCH(#REF!,Data!$G$24:$G$28,1),MATCH(#REF!,Data!$H$23:$J$23,1)),0)</f>
        <v>#REF!</v>
      </c>
      <c r="D183" t="str">
        <f>RIGHT(TRIM('DL 1'!G184),1)</f>
        <v/>
      </c>
      <c r="E183" s="8">
        <f>'DL 1'!E184*'DL 1'!D184</f>
        <v>0</v>
      </c>
      <c r="F183" t="str">
        <f>_xlfn.IFNA(VLOOKUP(TRIM('DL 1'!G184),Data!$A:$C,3,0),"")</f>
        <v/>
      </c>
      <c r="G183" s="7">
        <f>'DL 1'!E184</f>
        <v>0</v>
      </c>
      <c r="H183" s="21">
        <f>_xlfn.IFNA(VLOOKUP(TRIM('DL 1'!G184),Data!$A:$D,4,0),0)</f>
        <v>0</v>
      </c>
      <c r="I183">
        <f>_xlfn.IFNA(INDEX(Data!$G$5:$K$10,MATCH('DL 1'!D184,Data!$F$5:$F$10,1),MATCH(_xlfn.SINGLE(#REF!),Data!$G$4:$K$4,1)),0)</f>
        <v>0</v>
      </c>
      <c r="J183">
        <f>_xlfn.IFNA(IF(VLOOKUP(TRIM('DL 1'!G184),Data!$A:$C,3,0)="ST1",H183*I183*G183,IF(VLOOKUP(TRIM('DL 1'!G184),Data!$A:$C,3,0)="IR0",H183*G183,MIN(H183:I183)*G183)),0)</f>
        <v>0</v>
      </c>
      <c r="K183" t="e">
        <f>_xlfn.IFNA(VLOOKUP(TRIM(#REF!),Data!$A:$D,4,0)*#REF!,0)</f>
        <v>#REF!</v>
      </c>
      <c r="L183">
        <f>IF(TRIM('DL 1'!G184)="EDCLNHT0IRNLI",20000,0)</f>
        <v>0</v>
      </c>
      <c r="M183">
        <f>IF(ISERROR(MATCH('DL 1'!A184,#REF!,0)),0,J183*2)</f>
        <v>0</v>
      </c>
      <c r="N183" t="e">
        <f>#REF!</f>
        <v>#REF!</v>
      </c>
      <c r="O183">
        <f>_xlfn.IFNA(VLOOKUP(RIGHT(VLOOKUP(TRIM('DL 1'!G184),Data!$A:$B,2,0),1),Data!$L$23:$M$30,2,0),0)</f>
        <v>0</v>
      </c>
      <c r="P183">
        <f t="shared" si="30"/>
        <v>0</v>
      </c>
      <c r="Q183" s="7" t="b">
        <f t="shared" si="21"/>
        <v>0</v>
      </c>
      <c r="R183" s="27">
        <f>INCENTIVE!$E$8</f>
        <v>130000000</v>
      </c>
      <c r="S183">
        <f>'DL 1'!D184</f>
        <v>0</v>
      </c>
      <c r="T183" t="str">
        <f t="shared" si="22"/>
        <v>1</v>
      </c>
      <c r="V183" t="str">
        <f t="shared" si="23"/>
        <v>1</v>
      </c>
      <c r="W183">
        <f t="shared" si="24"/>
        <v>0.25</v>
      </c>
      <c r="X183" s="7">
        <f>'DL 1'!E184</f>
        <v>0</v>
      </c>
      <c r="Y183" s="69">
        <f>'DL 1'!G184</f>
        <v>0</v>
      </c>
      <c r="AC183" t="str">
        <f>IFERROR(VLOOKUP(Y183,Data!$G$65:$K$79,2,0) *X183,"")</f>
        <v/>
      </c>
      <c r="AD183" s="7">
        <f t="shared" si="25"/>
        <v>0</v>
      </c>
      <c r="AE183">
        <f>'DL 1'!F184</f>
        <v>0</v>
      </c>
      <c r="AF183" t="str">
        <f>IFERROR(VLOOKUP(Y183,Data!$G$65:$K$79,4,0),"")</f>
        <v/>
      </c>
      <c r="AG183" s="51" t="e">
        <f>#REF!</f>
        <v>#REF!</v>
      </c>
      <c r="AK183">
        <f t="shared" si="26"/>
        <v>0</v>
      </c>
      <c r="AL183">
        <f t="shared" si="27"/>
        <v>0</v>
      </c>
      <c r="AM183" s="70">
        <f t="shared" si="28"/>
        <v>0</v>
      </c>
      <c r="AN183" s="7" t="b">
        <f t="shared" si="29"/>
        <v>0</v>
      </c>
    </row>
    <row r="184" spans="1:40" x14ac:dyDescent="0.3">
      <c r="A184" s="50">
        <f>IF(D184="A",_xlfn.IFNA(INDEX(Data!$H$24:$J$28,MATCH('DL 1'!E185,Data!$G$24:$G$28,1),MATCH('DL 1'!D185,Data!$H$23:$J$23,1)),0),0)</f>
        <v>0</v>
      </c>
      <c r="B184">
        <f>IF('DL 1'!F185="Y",Q184,0)</f>
        <v>0</v>
      </c>
      <c r="C184" t="e">
        <f>_xlfn.IFNA(INDEX(Data!$H$24:$J$28,MATCH(#REF!,Data!$G$24:$G$28,1),MATCH(#REF!,Data!$H$23:$J$23,1)),0)</f>
        <v>#REF!</v>
      </c>
      <c r="D184" t="str">
        <f>RIGHT(TRIM('DL 1'!G185),1)</f>
        <v/>
      </c>
      <c r="E184" s="8">
        <f>'DL 1'!E185*'DL 1'!D185</f>
        <v>0</v>
      </c>
      <c r="F184" t="str">
        <f>_xlfn.IFNA(VLOOKUP(TRIM('DL 1'!G185),Data!$A:$C,3,0),"")</f>
        <v/>
      </c>
      <c r="G184" s="7">
        <f>'DL 1'!E185</f>
        <v>0</v>
      </c>
      <c r="H184" s="21">
        <f>_xlfn.IFNA(VLOOKUP(TRIM('DL 1'!G185),Data!$A:$D,4,0),0)</f>
        <v>0</v>
      </c>
      <c r="I184">
        <f>_xlfn.IFNA(INDEX(Data!$G$5:$K$10,MATCH('DL 1'!D185,Data!$F$5:$F$10,1),MATCH(_xlfn.SINGLE(#REF!),Data!$G$4:$K$4,1)),0)</f>
        <v>0</v>
      </c>
      <c r="J184">
        <f>_xlfn.IFNA(IF(VLOOKUP(TRIM('DL 1'!G185),Data!$A:$C,3,0)="ST1",H184*I184*G184,IF(VLOOKUP(TRIM('DL 1'!G185),Data!$A:$C,3,0)="IR0",H184*G184,MIN(H184:I184)*G184)),0)</f>
        <v>0</v>
      </c>
      <c r="K184" t="e">
        <f>_xlfn.IFNA(VLOOKUP(TRIM(#REF!),Data!$A:$D,4,0)*#REF!,0)</f>
        <v>#REF!</v>
      </c>
      <c r="L184">
        <f>IF(TRIM('DL 1'!G185)="EDCLNHT0IRNLI",20000,0)</f>
        <v>0</v>
      </c>
      <c r="M184">
        <f>IF(ISERROR(MATCH('DL 1'!A185,#REF!,0)),0,J184*2)</f>
        <v>0</v>
      </c>
      <c r="N184" t="e">
        <f>#REF!</f>
        <v>#REF!</v>
      </c>
      <c r="O184">
        <f>_xlfn.IFNA(VLOOKUP(RIGHT(VLOOKUP(TRIM('DL 1'!G185),Data!$A:$B,2,0),1),Data!$L$23:$M$30,2,0),0)</f>
        <v>0</v>
      </c>
      <c r="P184">
        <f t="shared" si="30"/>
        <v>0</v>
      </c>
      <c r="Q184" s="7" t="b">
        <f t="shared" si="21"/>
        <v>0</v>
      </c>
      <c r="R184" s="27">
        <f>INCENTIVE!$E$8</f>
        <v>130000000</v>
      </c>
      <c r="S184">
        <f>'DL 1'!D185</f>
        <v>0</v>
      </c>
      <c r="T184" t="str">
        <f t="shared" si="22"/>
        <v>1</v>
      </c>
      <c r="V184" t="str">
        <f t="shared" si="23"/>
        <v>1</v>
      </c>
      <c r="W184">
        <f t="shared" si="24"/>
        <v>0.25</v>
      </c>
      <c r="X184" s="7">
        <f>'DL 1'!E185</f>
        <v>0</v>
      </c>
      <c r="Y184" s="69">
        <f>'DL 1'!G185</f>
        <v>0</v>
      </c>
      <c r="AC184" t="str">
        <f>IFERROR(VLOOKUP(Y184,Data!$G$65:$K$79,2,0) *X184,"")</f>
        <v/>
      </c>
      <c r="AD184" s="7">
        <f t="shared" si="25"/>
        <v>0</v>
      </c>
      <c r="AE184">
        <f>'DL 1'!F185</f>
        <v>0</v>
      </c>
      <c r="AF184" t="str">
        <f>IFERROR(VLOOKUP(Y184,Data!$G$65:$K$79,4,0),"")</f>
        <v/>
      </c>
      <c r="AG184" s="51" t="e">
        <f>#REF!</f>
        <v>#REF!</v>
      </c>
      <c r="AK184">
        <f t="shared" si="26"/>
        <v>0</v>
      </c>
      <c r="AL184">
        <f t="shared" si="27"/>
        <v>0</v>
      </c>
      <c r="AM184" s="70">
        <f t="shared" si="28"/>
        <v>0</v>
      </c>
      <c r="AN184" s="7" t="b">
        <f t="shared" si="29"/>
        <v>0</v>
      </c>
    </row>
    <row r="185" spans="1:40" x14ac:dyDescent="0.3">
      <c r="A185" s="50">
        <f>IF(D185="A",_xlfn.IFNA(INDEX(Data!$H$24:$J$28,MATCH('DL 1'!E186,Data!$G$24:$G$28,1),MATCH('DL 1'!D186,Data!$H$23:$J$23,1)),0),0)</f>
        <v>0</v>
      </c>
      <c r="B185">
        <f>IF('DL 1'!F186="Y",Q185,0)</f>
        <v>0</v>
      </c>
      <c r="C185" t="e">
        <f>_xlfn.IFNA(INDEX(Data!$H$24:$J$28,MATCH(#REF!,Data!$G$24:$G$28,1),MATCH(#REF!,Data!$H$23:$J$23,1)),0)</f>
        <v>#REF!</v>
      </c>
      <c r="D185" t="str">
        <f>RIGHT(TRIM('DL 1'!G186),1)</f>
        <v/>
      </c>
      <c r="E185" s="8">
        <f>'DL 1'!E186*'DL 1'!D186</f>
        <v>0</v>
      </c>
      <c r="F185" t="str">
        <f>_xlfn.IFNA(VLOOKUP(TRIM('DL 1'!G186),Data!$A:$C,3,0),"")</f>
        <v/>
      </c>
      <c r="G185" s="7">
        <f>'DL 1'!E186</f>
        <v>0</v>
      </c>
      <c r="H185" s="21">
        <f>_xlfn.IFNA(VLOOKUP(TRIM('DL 1'!G186),Data!$A:$D,4,0),0)</f>
        <v>0</v>
      </c>
      <c r="I185">
        <f>_xlfn.IFNA(INDEX(Data!$G$5:$K$10,MATCH('DL 1'!D186,Data!$F$5:$F$10,1),MATCH(_xlfn.SINGLE(#REF!),Data!$G$4:$K$4,1)),0)</f>
        <v>0</v>
      </c>
      <c r="J185">
        <f>_xlfn.IFNA(IF(VLOOKUP(TRIM('DL 1'!G186),Data!$A:$C,3,0)="ST1",H185*I185*G185,IF(VLOOKUP(TRIM('DL 1'!G186),Data!$A:$C,3,0)="IR0",H185*G185,MIN(H185:I185)*G185)),0)</f>
        <v>0</v>
      </c>
      <c r="K185" t="e">
        <f>_xlfn.IFNA(VLOOKUP(TRIM(#REF!),Data!$A:$D,4,0)*#REF!,0)</f>
        <v>#REF!</v>
      </c>
      <c r="L185">
        <f>IF(TRIM('DL 1'!G186)="EDCLNHT0IRNLI",20000,0)</f>
        <v>0</v>
      </c>
      <c r="M185">
        <f>IF(ISERROR(MATCH('DL 1'!A186,#REF!,0)),0,J185*2)</f>
        <v>0</v>
      </c>
      <c r="N185" t="e">
        <f>#REF!</f>
        <v>#REF!</v>
      </c>
      <c r="O185">
        <f>_xlfn.IFNA(VLOOKUP(RIGHT(VLOOKUP(TRIM('DL 1'!G186),Data!$A:$B,2,0),1),Data!$L$23:$M$30,2,0),0)</f>
        <v>0</v>
      </c>
      <c r="P185">
        <f t="shared" si="30"/>
        <v>0</v>
      </c>
      <c r="Q185" s="7" t="b">
        <f t="shared" si="21"/>
        <v>0</v>
      </c>
      <c r="R185" s="27">
        <f>INCENTIVE!$E$8</f>
        <v>130000000</v>
      </c>
      <c r="S185">
        <f>'DL 1'!D186</f>
        <v>0</v>
      </c>
      <c r="T185" t="str">
        <f t="shared" si="22"/>
        <v>1</v>
      </c>
      <c r="V185" t="str">
        <f t="shared" si="23"/>
        <v>1</v>
      </c>
      <c r="W185">
        <f t="shared" si="24"/>
        <v>0.25</v>
      </c>
      <c r="X185" s="7">
        <f>'DL 1'!E186</f>
        <v>0</v>
      </c>
      <c r="Y185" s="69">
        <f>'DL 1'!G186</f>
        <v>0</v>
      </c>
      <c r="AC185" t="str">
        <f>IFERROR(VLOOKUP(Y185,Data!$G$65:$K$79,2,0) *X185,"")</f>
        <v/>
      </c>
      <c r="AD185" s="7">
        <f t="shared" si="25"/>
        <v>0</v>
      </c>
      <c r="AE185">
        <f>'DL 1'!F186</f>
        <v>0</v>
      </c>
      <c r="AF185" t="str">
        <f>IFERROR(VLOOKUP(Y185,Data!$G$65:$K$79,4,0),"")</f>
        <v/>
      </c>
      <c r="AG185" s="51" t="e">
        <f>#REF!</f>
        <v>#REF!</v>
      </c>
      <c r="AK185">
        <f t="shared" si="26"/>
        <v>0</v>
      </c>
      <c r="AL185">
        <f t="shared" si="27"/>
        <v>0</v>
      </c>
      <c r="AM185" s="70">
        <f t="shared" si="28"/>
        <v>0</v>
      </c>
      <c r="AN185" s="7" t="b">
        <f t="shared" si="29"/>
        <v>0</v>
      </c>
    </row>
    <row r="186" spans="1:40" x14ac:dyDescent="0.3">
      <c r="A186" s="50">
        <f>IF(D186="A",_xlfn.IFNA(INDEX(Data!$H$24:$J$28,MATCH('DL 1'!E187,Data!$G$24:$G$28,1),MATCH('DL 1'!D187,Data!$H$23:$J$23,1)),0),0)</f>
        <v>0</v>
      </c>
      <c r="B186">
        <f>IF('DL 1'!F187="Y",Q186,0)</f>
        <v>0</v>
      </c>
      <c r="C186" t="e">
        <f>_xlfn.IFNA(INDEX(Data!$H$24:$J$28,MATCH(#REF!,Data!$G$24:$G$28,1),MATCH(#REF!,Data!$H$23:$J$23,1)),0)</f>
        <v>#REF!</v>
      </c>
      <c r="D186" t="str">
        <f>RIGHT(TRIM('DL 1'!G187),1)</f>
        <v/>
      </c>
      <c r="E186" s="8">
        <f>'DL 1'!E187*'DL 1'!D187</f>
        <v>0</v>
      </c>
      <c r="F186" t="str">
        <f>_xlfn.IFNA(VLOOKUP(TRIM('DL 1'!G187),Data!$A:$C,3,0),"")</f>
        <v/>
      </c>
      <c r="G186" s="7">
        <f>'DL 1'!E187</f>
        <v>0</v>
      </c>
      <c r="H186" s="21">
        <f>_xlfn.IFNA(VLOOKUP(TRIM('DL 1'!G187),Data!$A:$D,4,0),0)</f>
        <v>0</v>
      </c>
      <c r="I186">
        <f>_xlfn.IFNA(INDEX(Data!$G$5:$K$10,MATCH('DL 1'!D187,Data!$F$5:$F$10,1),MATCH(_xlfn.SINGLE(#REF!),Data!$G$4:$K$4,1)),0)</f>
        <v>0</v>
      </c>
      <c r="J186">
        <f>_xlfn.IFNA(IF(VLOOKUP(TRIM('DL 1'!G187),Data!$A:$C,3,0)="ST1",H186*I186*G186,IF(VLOOKUP(TRIM('DL 1'!G187),Data!$A:$C,3,0)="IR0",H186*G186,MIN(H186:I186)*G186)),0)</f>
        <v>0</v>
      </c>
      <c r="K186" t="e">
        <f>_xlfn.IFNA(VLOOKUP(TRIM(#REF!),Data!$A:$D,4,0)*#REF!,0)</f>
        <v>#REF!</v>
      </c>
      <c r="L186">
        <f>IF(TRIM('DL 1'!G187)="EDCLNHT0IRNLI",20000,0)</f>
        <v>0</v>
      </c>
      <c r="M186">
        <f>IF(ISERROR(MATCH('DL 1'!A187,#REF!,0)),0,J186*2)</f>
        <v>0</v>
      </c>
      <c r="N186" t="e">
        <f>#REF!</f>
        <v>#REF!</v>
      </c>
      <c r="O186">
        <f>_xlfn.IFNA(VLOOKUP(RIGHT(VLOOKUP(TRIM('DL 1'!G187),Data!$A:$B,2,0),1),Data!$L$23:$M$30,2,0),0)</f>
        <v>0</v>
      </c>
      <c r="P186">
        <f t="shared" si="30"/>
        <v>0</v>
      </c>
      <c r="Q186" s="7" t="b">
        <f t="shared" si="21"/>
        <v>0</v>
      </c>
      <c r="R186" s="27">
        <f>INCENTIVE!$E$8</f>
        <v>130000000</v>
      </c>
      <c r="S186">
        <f>'DL 1'!D187</f>
        <v>0</v>
      </c>
      <c r="T186" t="str">
        <f t="shared" si="22"/>
        <v>1</v>
      </c>
      <c r="V186" t="str">
        <f t="shared" si="23"/>
        <v>1</v>
      </c>
      <c r="W186">
        <f t="shared" si="24"/>
        <v>0.25</v>
      </c>
      <c r="X186" s="7">
        <f>'DL 1'!E187</f>
        <v>0</v>
      </c>
      <c r="Y186" s="69">
        <f>'DL 1'!G187</f>
        <v>0</v>
      </c>
      <c r="AC186" t="str">
        <f>IFERROR(VLOOKUP(Y186,Data!$G$65:$K$79,2,0) *X186,"")</f>
        <v/>
      </c>
      <c r="AD186" s="7">
        <f t="shared" si="25"/>
        <v>0</v>
      </c>
      <c r="AE186">
        <f>'DL 1'!F187</f>
        <v>0</v>
      </c>
      <c r="AF186" t="str">
        <f>IFERROR(VLOOKUP(Y186,Data!$G$65:$K$79,4,0),"")</f>
        <v/>
      </c>
      <c r="AG186" s="51" t="e">
        <f>#REF!</f>
        <v>#REF!</v>
      </c>
      <c r="AK186">
        <f t="shared" si="26"/>
        <v>0</v>
      </c>
      <c r="AL186">
        <f t="shared" si="27"/>
        <v>0</v>
      </c>
      <c r="AM186" s="70">
        <f t="shared" si="28"/>
        <v>0</v>
      </c>
      <c r="AN186" s="7" t="b">
        <f t="shared" si="29"/>
        <v>0</v>
      </c>
    </row>
    <row r="187" spans="1:40" x14ac:dyDescent="0.3">
      <c r="A187" s="50">
        <f>IF(D187="A",_xlfn.IFNA(INDEX(Data!$H$24:$J$28,MATCH('DL 1'!E188,Data!$G$24:$G$28,1),MATCH('DL 1'!D188,Data!$H$23:$J$23,1)),0),0)</f>
        <v>0</v>
      </c>
      <c r="B187">
        <f>IF('DL 1'!F188="Y",Q187,0)</f>
        <v>0</v>
      </c>
      <c r="C187" t="e">
        <f>_xlfn.IFNA(INDEX(Data!$H$24:$J$28,MATCH(#REF!,Data!$G$24:$G$28,1),MATCH(#REF!,Data!$H$23:$J$23,1)),0)</f>
        <v>#REF!</v>
      </c>
      <c r="D187" t="str">
        <f>RIGHT(TRIM('DL 1'!G188),1)</f>
        <v/>
      </c>
      <c r="E187" s="8">
        <f>'DL 1'!E188*'DL 1'!D188</f>
        <v>0</v>
      </c>
      <c r="F187" t="str">
        <f>_xlfn.IFNA(VLOOKUP(TRIM('DL 1'!G188),Data!$A:$C,3,0),"")</f>
        <v/>
      </c>
      <c r="G187" s="7">
        <f>'DL 1'!E188</f>
        <v>0</v>
      </c>
      <c r="H187" s="21">
        <f>_xlfn.IFNA(VLOOKUP(TRIM('DL 1'!G188),Data!$A:$D,4,0),0)</f>
        <v>0</v>
      </c>
      <c r="I187">
        <f>_xlfn.IFNA(INDEX(Data!$G$5:$K$10,MATCH('DL 1'!D188,Data!$F$5:$F$10,1),MATCH(_xlfn.SINGLE(#REF!),Data!$G$4:$K$4,1)),0)</f>
        <v>0</v>
      </c>
      <c r="J187">
        <f>_xlfn.IFNA(IF(VLOOKUP(TRIM('DL 1'!G188),Data!$A:$C,3,0)="ST1",H187*I187*G187,IF(VLOOKUP(TRIM('DL 1'!G188),Data!$A:$C,3,0)="IR0",H187*G187,MIN(H187:I187)*G187)),0)</f>
        <v>0</v>
      </c>
      <c r="K187" t="e">
        <f>_xlfn.IFNA(VLOOKUP(TRIM(#REF!),Data!$A:$D,4,0)*#REF!,0)</f>
        <v>#REF!</v>
      </c>
      <c r="L187">
        <f>IF(TRIM('DL 1'!G188)="EDCLNHT0IRNLI",20000,0)</f>
        <v>0</v>
      </c>
      <c r="M187">
        <f>IF(ISERROR(MATCH('DL 1'!A188,#REF!,0)),0,J187*2)</f>
        <v>0</v>
      </c>
      <c r="N187" t="e">
        <f>#REF!</f>
        <v>#REF!</v>
      </c>
      <c r="O187">
        <f>_xlfn.IFNA(VLOOKUP(RIGHT(VLOOKUP(TRIM('DL 1'!G188),Data!$A:$B,2,0),1),Data!$L$23:$M$30,2,0),0)</f>
        <v>0</v>
      </c>
      <c r="P187">
        <f t="shared" si="30"/>
        <v>0</v>
      </c>
      <c r="Q187" s="7" t="b">
        <f t="shared" si="21"/>
        <v>0</v>
      </c>
      <c r="R187" s="27">
        <f>INCENTIVE!$E$8</f>
        <v>130000000</v>
      </c>
      <c r="S187">
        <f>'DL 1'!D188</f>
        <v>0</v>
      </c>
      <c r="T187" t="str">
        <f t="shared" si="22"/>
        <v>1</v>
      </c>
      <c r="V187" t="str">
        <f t="shared" si="23"/>
        <v>1</v>
      </c>
      <c r="W187">
        <f t="shared" si="24"/>
        <v>0.25</v>
      </c>
      <c r="X187" s="7">
        <f>'DL 1'!E188</f>
        <v>0</v>
      </c>
      <c r="Y187" s="69">
        <f>'DL 1'!G188</f>
        <v>0</v>
      </c>
      <c r="AC187" t="str">
        <f>IFERROR(VLOOKUP(Y187,Data!$G$65:$K$79,2,0) *X187,"")</f>
        <v/>
      </c>
      <c r="AD187" s="7">
        <f t="shared" si="25"/>
        <v>0</v>
      </c>
      <c r="AE187">
        <f>'DL 1'!F188</f>
        <v>0</v>
      </c>
      <c r="AF187" t="str">
        <f>IFERROR(VLOOKUP(Y187,Data!$G$65:$K$79,4,0),"")</f>
        <v/>
      </c>
      <c r="AG187" s="51" t="e">
        <f>#REF!</f>
        <v>#REF!</v>
      </c>
      <c r="AK187">
        <f t="shared" si="26"/>
        <v>0</v>
      </c>
      <c r="AL187">
        <f t="shared" si="27"/>
        <v>0</v>
      </c>
      <c r="AM187" s="70">
        <f t="shared" si="28"/>
        <v>0</v>
      </c>
      <c r="AN187" s="7" t="b">
        <f t="shared" si="29"/>
        <v>0</v>
      </c>
    </row>
    <row r="188" spans="1:40" x14ac:dyDescent="0.3">
      <c r="A188" s="50">
        <f>IF(D188="A",_xlfn.IFNA(INDEX(Data!$H$24:$J$28,MATCH('DL 1'!E189,Data!$G$24:$G$28,1),MATCH('DL 1'!D189,Data!$H$23:$J$23,1)),0),0)</f>
        <v>0</v>
      </c>
      <c r="B188">
        <f>IF('DL 1'!F189="Y",Q188,0)</f>
        <v>0</v>
      </c>
      <c r="C188" t="e">
        <f>_xlfn.IFNA(INDEX(Data!$H$24:$J$28,MATCH(#REF!,Data!$G$24:$G$28,1),MATCH(#REF!,Data!$H$23:$J$23,1)),0)</f>
        <v>#REF!</v>
      </c>
      <c r="D188" t="str">
        <f>RIGHT(TRIM('DL 1'!G189),1)</f>
        <v/>
      </c>
      <c r="E188" s="8">
        <f>'DL 1'!E189*'DL 1'!D189</f>
        <v>0</v>
      </c>
      <c r="F188" t="str">
        <f>_xlfn.IFNA(VLOOKUP(TRIM('DL 1'!G189),Data!$A:$C,3,0),"")</f>
        <v/>
      </c>
      <c r="G188" s="7">
        <f>'DL 1'!E189</f>
        <v>0</v>
      </c>
      <c r="H188" s="21">
        <f>_xlfn.IFNA(VLOOKUP(TRIM('DL 1'!G189),Data!$A:$D,4,0),0)</f>
        <v>0</v>
      </c>
      <c r="I188">
        <f>_xlfn.IFNA(INDEX(Data!$G$5:$K$10,MATCH('DL 1'!D189,Data!$F$5:$F$10,1),MATCH(_xlfn.SINGLE(#REF!),Data!$G$4:$K$4,1)),0)</f>
        <v>0</v>
      </c>
      <c r="J188">
        <f>_xlfn.IFNA(IF(VLOOKUP(TRIM('DL 1'!G189),Data!$A:$C,3,0)="ST1",H188*I188*G188,IF(VLOOKUP(TRIM('DL 1'!G189),Data!$A:$C,3,0)="IR0",H188*G188,MIN(H188:I188)*G188)),0)</f>
        <v>0</v>
      </c>
      <c r="K188" t="e">
        <f>_xlfn.IFNA(VLOOKUP(TRIM(#REF!),Data!$A:$D,4,0)*#REF!,0)</f>
        <v>#REF!</v>
      </c>
      <c r="L188">
        <f>IF(TRIM('DL 1'!G189)="EDCLNHT0IRNLI",20000,0)</f>
        <v>0</v>
      </c>
      <c r="M188">
        <f>IF(ISERROR(MATCH('DL 1'!A189,#REF!,0)),0,J188*2)</f>
        <v>0</v>
      </c>
      <c r="N188" t="e">
        <f>#REF!</f>
        <v>#REF!</v>
      </c>
      <c r="O188">
        <f>_xlfn.IFNA(VLOOKUP(RIGHT(VLOOKUP(TRIM('DL 1'!G189),Data!$A:$B,2,0),1),Data!$L$23:$M$30,2,0),0)</f>
        <v>0</v>
      </c>
      <c r="P188">
        <f t="shared" si="30"/>
        <v>0</v>
      </c>
      <c r="Q188" s="7" t="b">
        <f t="shared" si="21"/>
        <v>0</v>
      </c>
      <c r="R188" s="27">
        <f>INCENTIVE!$E$8</f>
        <v>130000000</v>
      </c>
      <c r="S188">
        <f>'DL 1'!D189</f>
        <v>0</v>
      </c>
      <c r="T188" t="str">
        <f t="shared" si="22"/>
        <v>1</v>
      </c>
      <c r="V188" t="str">
        <f t="shared" si="23"/>
        <v>1</v>
      </c>
      <c r="W188">
        <f t="shared" si="24"/>
        <v>0.25</v>
      </c>
      <c r="X188" s="7">
        <f>'DL 1'!E189</f>
        <v>0</v>
      </c>
      <c r="Y188" s="69">
        <f>'DL 1'!G189</f>
        <v>0</v>
      </c>
      <c r="AC188" t="str">
        <f>IFERROR(VLOOKUP(Y188,Data!$G$65:$K$79,2,0) *X188,"")</f>
        <v/>
      </c>
      <c r="AD188" s="7">
        <f t="shared" si="25"/>
        <v>0</v>
      </c>
      <c r="AE188">
        <f>'DL 1'!F189</f>
        <v>0</v>
      </c>
      <c r="AF188" t="str">
        <f>IFERROR(VLOOKUP(Y188,Data!$G$65:$K$79,4,0),"")</f>
        <v/>
      </c>
      <c r="AG188" s="51" t="e">
        <f>#REF!</f>
        <v>#REF!</v>
      </c>
      <c r="AK188">
        <f t="shared" si="26"/>
        <v>0</v>
      </c>
      <c r="AL188">
        <f t="shared" si="27"/>
        <v>0</v>
      </c>
      <c r="AM188" s="70">
        <f t="shared" si="28"/>
        <v>0</v>
      </c>
      <c r="AN188" s="7" t="b">
        <f t="shared" si="29"/>
        <v>0</v>
      </c>
    </row>
    <row r="189" spans="1:40" x14ac:dyDescent="0.3">
      <c r="A189" s="50">
        <f>IF(D189="A",_xlfn.IFNA(INDEX(Data!$H$24:$J$28,MATCH('DL 1'!E190,Data!$G$24:$G$28,1),MATCH('DL 1'!D190,Data!$H$23:$J$23,1)),0),0)</f>
        <v>0</v>
      </c>
      <c r="B189">
        <f>IF('DL 1'!F190="Y",Q189,0)</f>
        <v>0</v>
      </c>
      <c r="C189" t="e">
        <f>_xlfn.IFNA(INDEX(Data!$H$24:$J$28,MATCH(#REF!,Data!$G$24:$G$28,1),MATCH(#REF!,Data!$H$23:$J$23,1)),0)</f>
        <v>#REF!</v>
      </c>
      <c r="D189" t="str">
        <f>RIGHT(TRIM('DL 1'!G190),1)</f>
        <v/>
      </c>
      <c r="E189" s="8">
        <f>'DL 1'!E190*'DL 1'!D190</f>
        <v>0</v>
      </c>
      <c r="F189" t="str">
        <f>_xlfn.IFNA(VLOOKUP(TRIM('DL 1'!G190),Data!$A:$C,3,0),"")</f>
        <v/>
      </c>
      <c r="G189" s="7">
        <f>'DL 1'!E190</f>
        <v>0</v>
      </c>
      <c r="H189" s="21">
        <f>_xlfn.IFNA(VLOOKUP(TRIM('DL 1'!G190),Data!$A:$D,4,0),0)</f>
        <v>0</v>
      </c>
      <c r="I189">
        <f>_xlfn.IFNA(INDEX(Data!$G$5:$K$10,MATCH('DL 1'!D190,Data!$F$5:$F$10,1),MATCH(_xlfn.SINGLE(#REF!),Data!$G$4:$K$4,1)),0)</f>
        <v>0</v>
      </c>
      <c r="J189">
        <f>_xlfn.IFNA(IF(VLOOKUP(TRIM('DL 1'!G190),Data!$A:$C,3,0)="ST1",H189*I189*G189,IF(VLOOKUP(TRIM('DL 1'!G190),Data!$A:$C,3,0)="IR0",H189*G189,MIN(H189:I189)*G189)),0)</f>
        <v>0</v>
      </c>
      <c r="K189" t="e">
        <f>_xlfn.IFNA(VLOOKUP(TRIM(#REF!),Data!$A:$D,4,0)*#REF!,0)</f>
        <v>#REF!</v>
      </c>
      <c r="L189">
        <f>IF(TRIM('DL 1'!G190)="EDCLNHT0IRNLI",20000,0)</f>
        <v>0</v>
      </c>
      <c r="M189">
        <f>IF(ISERROR(MATCH('DL 1'!A190,#REF!,0)),0,J189*2)</f>
        <v>0</v>
      </c>
      <c r="N189" t="e">
        <f>#REF!</f>
        <v>#REF!</v>
      </c>
      <c r="O189">
        <f>_xlfn.IFNA(VLOOKUP(RIGHT(VLOOKUP(TRIM('DL 1'!G190),Data!$A:$B,2,0),1),Data!$L$23:$M$30,2,0),0)</f>
        <v>0</v>
      </c>
      <c r="P189">
        <f t="shared" si="30"/>
        <v>0</v>
      </c>
      <c r="Q189" s="7" t="b">
        <f t="shared" si="21"/>
        <v>0</v>
      </c>
      <c r="R189" s="27">
        <f>INCENTIVE!$E$8</f>
        <v>130000000</v>
      </c>
      <c r="S189">
        <f>'DL 1'!D190</f>
        <v>0</v>
      </c>
      <c r="T189" t="str">
        <f t="shared" si="22"/>
        <v>1</v>
      </c>
      <c r="V189" t="str">
        <f t="shared" si="23"/>
        <v>1</v>
      </c>
      <c r="W189">
        <f t="shared" si="24"/>
        <v>0.25</v>
      </c>
      <c r="X189" s="7">
        <f>'DL 1'!E190</f>
        <v>0</v>
      </c>
      <c r="Y189" s="69">
        <f>'DL 1'!G190</f>
        <v>0</v>
      </c>
      <c r="AC189" t="str">
        <f>IFERROR(VLOOKUP(Y189,Data!$G$65:$K$79,2,0) *X189,"")</f>
        <v/>
      </c>
      <c r="AD189" s="7">
        <f t="shared" si="25"/>
        <v>0</v>
      </c>
      <c r="AE189">
        <f>'DL 1'!F190</f>
        <v>0</v>
      </c>
      <c r="AF189" t="str">
        <f>IFERROR(VLOOKUP(Y189,Data!$G$65:$K$79,4,0),"")</f>
        <v/>
      </c>
      <c r="AG189" s="51" t="e">
        <f>#REF!</f>
        <v>#REF!</v>
      </c>
      <c r="AK189">
        <f t="shared" si="26"/>
        <v>0</v>
      </c>
      <c r="AL189">
        <f t="shared" si="27"/>
        <v>0</v>
      </c>
      <c r="AM189" s="70">
        <f t="shared" si="28"/>
        <v>0</v>
      </c>
      <c r="AN189" s="7" t="b">
        <f t="shared" si="29"/>
        <v>0</v>
      </c>
    </row>
    <row r="190" spans="1:40" x14ac:dyDescent="0.3">
      <c r="A190" s="50">
        <f>IF(D190="A",_xlfn.IFNA(INDEX(Data!$H$24:$J$28,MATCH('DL 1'!E191,Data!$G$24:$G$28,1),MATCH('DL 1'!D191,Data!$H$23:$J$23,1)),0),0)</f>
        <v>0</v>
      </c>
      <c r="B190">
        <f>IF('DL 1'!F191="Y",Q190,0)</f>
        <v>0</v>
      </c>
      <c r="C190" t="e">
        <f>_xlfn.IFNA(INDEX(Data!$H$24:$J$28,MATCH(#REF!,Data!$G$24:$G$28,1),MATCH(#REF!,Data!$H$23:$J$23,1)),0)</f>
        <v>#REF!</v>
      </c>
      <c r="D190" t="str">
        <f>RIGHT(TRIM('DL 1'!G191),1)</f>
        <v/>
      </c>
      <c r="E190" s="8">
        <f>'DL 1'!E191*'DL 1'!D191</f>
        <v>0</v>
      </c>
      <c r="F190" t="str">
        <f>_xlfn.IFNA(VLOOKUP(TRIM('DL 1'!G191),Data!$A:$C,3,0),"")</f>
        <v/>
      </c>
      <c r="G190" s="7">
        <f>'DL 1'!E191</f>
        <v>0</v>
      </c>
      <c r="H190" s="21">
        <f>_xlfn.IFNA(VLOOKUP(TRIM('DL 1'!G191),Data!$A:$D,4,0),0)</f>
        <v>0</v>
      </c>
      <c r="I190">
        <f>_xlfn.IFNA(INDEX(Data!$G$5:$K$10,MATCH('DL 1'!D191,Data!$F$5:$F$10,1),MATCH(_xlfn.SINGLE(#REF!),Data!$G$4:$K$4,1)),0)</f>
        <v>0</v>
      </c>
      <c r="J190">
        <f>_xlfn.IFNA(IF(VLOOKUP(TRIM('DL 1'!G191),Data!$A:$C,3,0)="ST1",H190*I190*G190,IF(VLOOKUP(TRIM('DL 1'!G191),Data!$A:$C,3,0)="IR0",H190*G190,MIN(H190:I190)*G190)),0)</f>
        <v>0</v>
      </c>
      <c r="K190" t="e">
        <f>_xlfn.IFNA(VLOOKUP(TRIM(#REF!),Data!$A:$D,4,0)*#REF!,0)</f>
        <v>#REF!</v>
      </c>
      <c r="L190">
        <f>IF(TRIM('DL 1'!G191)="EDCLNHT0IRNLI",20000,0)</f>
        <v>0</v>
      </c>
      <c r="M190">
        <f>IF(ISERROR(MATCH('DL 1'!A191,#REF!,0)),0,J190*2)</f>
        <v>0</v>
      </c>
      <c r="N190" t="e">
        <f>#REF!</f>
        <v>#REF!</v>
      </c>
      <c r="O190">
        <f>_xlfn.IFNA(VLOOKUP(RIGHT(VLOOKUP(TRIM('DL 1'!G191),Data!$A:$B,2,0),1),Data!$L$23:$M$30,2,0),0)</f>
        <v>0</v>
      </c>
      <c r="P190">
        <f t="shared" si="30"/>
        <v>0</v>
      </c>
      <c r="Q190" s="7" t="b">
        <f t="shared" si="21"/>
        <v>0</v>
      </c>
      <c r="R190" s="27">
        <f>INCENTIVE!$E$8</f>
        <v>130000000</v>
      </c>
      <c r="S190">
        <f>'DL 1'!D191</f>
        <v>0</v>
      </c>
      <c r="T190" t="str">
        <f t="shared" si="22"/>
        <v>1</v>
      </c>
      <c r="V190" t="str">
        <f t="shared" si="23"/>
        <v>1</v>
      </c>
      <c r="W190">
        <f t="shared" si="24"/>
        <v>0.25</v>
      </c>
      <c r="X190" s="7">
        <f>'DL 1'!E191</f>
        <v>0</v>
      </c>
      <c r="Y190" s="69">
        <f>'DL 1'!G191</f>
        <v>0</v>
      </c>
      <c r="AC190" t="str">
        <f>IFERROR(VLOOKUP(Y190,Data!$G$65:$K$79,2,0) *X190,"")</f>
        <v/>
      </c>
      <c r="AD190" s="7">
        <f t="shared" si="25"/>
        <v>0</v>
      </c>
      <c r="AE190">
        <f>'DL 1'!F191</f>
        <v>0</v>
      </c>
      <c r="AF190" t="str">
        <f>IFERROR(VLOOKUP(Y190,Data!$G$65:$K$79,4,0),"")</f>
        <v/>
      </c>
      <c r="AG190" s="51" t="e">
        <f>#REF!</f>
        <v>#REF!</v>
      </c>
      <c r="AK190">
        <f t="shared" si="26"/>
        <v>0</v>
      </c>
      <c r="AL190">
        <f t="shared" si="27"/>
        <v>0</v>
      </c>
      <c r="AM190" s="70">
        <f t="shared" si="28"/>
        <v>0</v>
      </c>
      <c r="AN190" s="7" t="b">
        <f t="shared" si="29"/>
        <v>0</v>
      </c>
    </row>
    <row r="191" spans="1:40" x14ac:dyDescent="0.3">
      <c r="A191" s="50">
        <f>IF(D191="A",_xlfn.IFNA(INDEX(Data!$H$24:$J$28,MATCH('DL 1'!E192,Data!$G$24:$G$28,1),MATCH('DL 1'!D192,Data!$H$23:$J$23,1)),0),0)</f>
        <v>0</v>
      </c>
      <c r="B191">
        <f>IF('DL 1'!F192="Y",Q191,0)</f>
        <v>0</v>
      </c>
      <c r="C191" t="e">
        <f>_xlfn.IFNA(INDEX(Data!$H$24:$J$28,MATCH(#REF!,Data!$G$24:$G$28,1),MATCH(#REF!,Data!$H$23:$J$23,1)),0)</f>
        <v>#REF!</v>
      </c>
      <c r="D191" t="str">
        <f>RIGHT(TRIM('DL 1'!G192),1)</f>
        <v/>
      </c>
      <c r="E191" s="8">
        <f>'DL 1'!E192*'DL 1'!D192</f>
        <v>0</v>
      </c>
      <c r="F191" t="str">
        <f>_xlfn.IFNA(VLOOKUP(TRIM('DL 1'!G192),Data!$A:$C,3,0),"")</f>
        <v/>
      </c>
      <c r="G191" s="7">
        <f>'DL 1'!E192</f>
        <v>0</v>
      </c>
      <c r="H191" s="21">
        <f>_xlfn.IFNA(VLOOKUP(TRIM('DL 1'!G192),Data!$A:$D,4,0),0)</f>
        <v>0</v>
      </c>
      <c r="I191">
        <f>_xlfn.IFNA(INDEX(Data!$G$5:$K$10,MATCH('DL 1'!D192,Data!$F$5:$F$10,1),MATCH(_xlfn.SINGLE(#REF!),Data!$G$4:$K$4,1)),0)</f>
        <v>0</v>
      </c>
      <c r="J191">
        <f>_xlfn.IFNA(IF(VLOOKUP(TRIM('DL 1'!G192),Data!$A:$C,3,0)="ST1",H191*I191*G191,IF(VLOOKUP(TRIM('DL 1'!G192),Data!$A:$C,3,0)="IR0",H191*G191,MIN(H191:I191)*G191)),0)</f>
        <v>0</v>
      </c>
      <c r="K191" t="e">
        <f>_xlfn.IFNA(VLOOKUP(TRIM(#REF!),Data!$A:$D,4,0)*#REF!,0)</f>
        <v>#REF!</v>
      </c>
      <c r="L191">
        <f>IF(TRIM('DL 1'!G192)="EDCLNHT0IRNLI",20000,0)</f>
        <v>0</v>
      </c>
      <c r="M191">
        <f>IF(ISERROR(MATCH('DL 1'!A192,#REF!,0)),0,J191*2)</f>
        <v>0</v>
      </c>
      <c r="N191" t="e">
        <f>#REF!</f>
        <v>#REF!</v>
      </c>
      <c r="O191">
        <f>_xlfn.IFNA(VLOOKUP(RIGHT(VLOOKUP(TRIM('DL 1'!G192),Data!$A:$B,2,0),1),Data!$L$23:$M$30,2,0),0)</f>
        <v>0</v>
      </c>
      <c r="P191">
        <f t="shared" si="30"/>
        <v>0</v>
      </c>
      <c r="Q191" s="7" t="b">
        <f t="shared" si="21"/>
        <v>0</v>
      </c>
      <c r="R191" s="27">
        <f>INCENTIVE!$E$8</f>
        <v>130000000</v>
      </c>
      <c r="S191">
        <f>'DL 1'!D192</f>
        <v>0</v>
      </c>
      <c r="T191" t="str">
        <f t="shared" si="22"/>
        <v>1</v>
      </c>
      <c r="V191" t="str">
        <f t="shared" si="23"/>
        <v>1</v>
      </c>
      <c r="W191">
        <f t="shared" si="24"/>
        <v>0.25</v>
      </c>
      <c r="X191" s="7">
        <f>'DL 1'!E192</f>
        <v>0</v>
      </c>
      <c r="Y191" s="69">
        <f>'DL 1'!G192</f>
        <v>0</v>
      </c>
      <c r="AC191" t="str">
        <f>IFERROR(VLOOKUP(Y191,Data!$G$65:$K$79,2,0) *X191,"")</f>
        <v/>
      </c>
      <c r="AD191" s="7">
        <f t="shared" si="25"/>
        <v>0</v>
      </c>
      <c r="AE191">
        <f>'DL 1'!F192</f>
        <v>0</v>
      </c>
      <c r="AF191" t="str">
        <f>IFERROR(VLOOKUP(Y191,Data!$G$65:$K$79,4,0),"")</f>
        <v/>
      </c>
      <c r="AG191" s="51" t="e">
        <f>#REF!</f>
        <v>#REF!</v>
      </c>
      <c r="AK191">
        <f t="shared" si="26"/>
        <v>0</v>
      </c>
      <c r="AL191">
        <f t="shared" si="27"/>
        <v>0</v>
      </c>
      <c r="AM191" s="70">
        <f t="shared" si="28"/>
        <v>0</v>
      </c>
      <c r="AN191" s="7" t="b">
        <f t="shared" si="29"/>
        <v>0</v>
      </c>
    </row>
    <row r="192" spans="1:40" x14ac:dyDescent="0.3">
      <c r="A192" s="50">
        <f>IF(D192="A",_xlfn.IFNA(INDEX(Data!$H$24:$J$28,MATCH('DL 1'!E193,Data!$G$24:$G$28,1),MATCH('DL 1'!D193,Data!$H$23:$J$23,1)),0),0)</f>
        <v>0</v>
      </c>
      <c r="B192">
        <f>IF('DL 1'!F193="Y",Q192,0)</f>
        <v>0</v>
      </c>
      <c r="C192" t="e">
        <f>_xlfn.IFNA(INDEX(Data!$H$24:$J$28,MATCH(#REF!,Data!$G$24:$G$28,1),MATCH(#REF!,Data!$H$23:$J$23,1)),0)</f>
        <v>#REF!</v>
      </c>
      <c r="D192" t="str">
        <f>RIGHT(TRIM('DL 1'!G193),1)</f>
        <v/>
      </c>
      <c r="E192" s="8">
        <f>'DL 1'!E193*'DL 1'!D193</f>
        <v>0</v>
      </c>
      <c r="F192" t="str">
        <f>_xlfn.IFNA(VLOOKUP(TRIM('DL 1'!G193),Data!$A:$C,3,0),"")</f>
        <v/>
      </c>
      <c r="G192" s="7">
        <f>'DL 1'!E193</f>
        <v>0</v>
      </c>
      <c r="H192" s="21">
        <f>_xlfn.IFNA(VLOOKUP(TRIM('DL 1'!G193),Data!$A:$D,4,0),0)</f>
        <v>0</v>
      </c>
      <c r="I192">
        <f>_xlfn.IFNA(INDEX(Data!$G$5:$K$10,MATCH('DL 1'!D193,Data!$F$5:$F$10,1),MATCH(_xlfn.SINGLE(#REF!),Data!$G$4:$K$4,1)),0)</f>
        <v>0</v>
      </c>
      <c r="J192">
        <f>_xlfn.IFNA(IF(VLOOKUP(TRIM('DL 1'!G193),Data!$A:$C,3,0)="ST1",H192*I192*G192,IF(VLOOKUP(TRIM('DL 1'!G193),Data!$A:$C,3,0)="IR0",H192*G192,MIN(H192:I192)*G192)),0)</f>
        <v>0</v>
      </c>
      <c r="K192" t="e">
        <f>_xlfn.IFNA(VLOOKUP(TRIM(#REF!),Data!$A:$D,4,0)*#REF!,0)</f>
        <v>#REF!</v>
      </c>
      <c r="L192">
        <f>IF(TRIM('DL 1'!G193)="EDCLNHT0IRNLI",20000,0)</f>
        <v>0</v>
      </c>
      <c r="M192">
        <f>IF(ISERROR(MATCH('DL 1'!A193,#REF!,0)),0,J192*2)</f>
        <v>0</v>
      </c>
      <c r="N192" t="e">
        <f>#REF!</f>
        <v>#REF!</v>
      </c>
      <c r="O192">
        <f>_xlfn.IFNA(VLOOKUP(RIGHT(VLOOKUP(TRIM('DL 1'!G193),Data!$A:$B,2,0),1),Data!$L$23:$M$30,2,0),0)</f>
        <v>0</v>
      </c>
      <c r="P192">
        <f t="shared" si="30"/>
        <v>0</v>
      </c>
      <c r="Q192" s="7" t="b">
        <f t="shared" si="21"/>
        <v>0</v>
      </c>
      <c r="R192" s="27">
        <f>INCENTIVE!$E$8</f>
        <v>130000000</v>
      </c>
      <c r="S192">
        <f>'DL 1'!D193</f>
        <v>0</v>
      </c>
      <c r="T192" t="str">
        <f t="shared" si="22"/>
        <v>1</v>
      </c>
      <c r="V192" t="str">
        <f t="shared" si="23"/>
        <v>1</v>
      </c>
      <c r="W192">
        <f t="shared" si="24"/>
        <v>0.25</v>
      </c>
      <c r="X192" s="7">
        <f>'DL 1'!E193</f>
        <v>0</v>
      </c>
      <c r="Y192" s="69">
        <f>'DL 1'!G193</f>
        <v>0</v>
      </c>
      <c r="AC192" t="str">
        <f>IFERROR(VLOOKUP(Y192,Data!$G$65:$K$79,2,0) *X192,"")</f>
        <v/>
      </c>
      <c r="AD192" s="7">
        <f t="shared" si="25"/>
        <v>0</v>
      </c>
      <c r="AE192">
        <f>'DL 1'!F193</f>
        <v>0</v>
      </c>
      <c r="AF192" t="str">
        <f>IFERROR(VLOOKUP(Y192,Data!$G$65:$K$79,4,0),"")</f>
        <v/>
      </c>
      <c r="AG192" s="51" t="e">
        <f>#REF!</f>
        <v>#REF!</v>
      </c>
      <c r="AK192">
        <f t="shared" si="26"/>
        <v>0</v>
      </c>
      <c r="AL192">
        <f t="shared" si="27"/>
        <v>0</v>
      </c>
      <c r="AM192" s="70">
        <f t="shared" si="28"/>
        <v>0</v>
      </c>
      <c r="AN192" s="7" t="b">
        <f t="shared" si="29"/>
        <v>0</v>
      </c>
    </row>
    <row r="193" spans="1:40" x14ac:dyDescent="0.3">
      <c r="A193" s="50">
        <f>IF(D193="A",_xlfn.IFNA(INDEX(Data!$H$24:$J$28,MATCH('DL 1'!E194,Data!$G$24:$G$28,1),MATCH('DL 1'!D194,Data!$H$23:$J$23,1)),0),0)</f>
        <v>0</v>
      </c>
      <c r="B193">
        <f>IF('DL 1'!F194="Y",Q193,0)</f>
        <v>0</v>
      </c>
      <c r="C193" t="e">
        <f>_xlfn.IFNA(INDEX(Data!$H$24:$J$28,MATCH(#REF!,Data!$G$24:$G$28,1),MATCH(#REF!,Data!$H$23:$J$23,1)),0)</f>
        <v>#REF!</v>
      </c>
      <c r="D193" t="str">
        <f>RIGHT(TRIM('DL 1'!G194),1)</f>
        <v/>
      </c>
      <c r="E193" s="8">
        <f>'DL 1'!E194*'DL 1'!D194</f>
        <v>0</v>
      </c>
      <c r="F193" t="str">
        <f>_xlfn.IFNA(VLOOKUP(TRIM('DL 1'!G194),Data!$A:$C,3,0),"")</f>
        <v/>
      </c>
      <c r="G193" s="7">
        <f>'DL 1'!E194</f>
        <v>0</v>
      </c>
      <c r="H193" s="21">
        <f>_xlfn.IFNA(VLOOKUP(TRIM('DL 1'!G194),Data!$A:$D,4,0),0)</f>
        <v>0</v>
      </c>
      <c r="I193">
        <f>_xlfn.IFNA(INDEX(Data!$G$5:$K$10,MATCH('DL 1'!D194,Data!$F$5:$F$10,1),MATCH(_xlfn.SINGLE(#REF!),Data!$G$4:$K$4,1)),0)</f>
        <v>0</v>
      </c>
      <c r="J193">
        <f>_xlfn.IFNA(IF(VLOOKUP(TRIM('DL 1'!G194),Data!$A:$C,3,0)="ST1",H193*I193*G193,IF(VLOOKUP(TRIM('DL 1'!G194),Data!$A:$C,3,0)="IR0",H193*G193,MIN(H193:I193)*G193)),0)</f>
        <v>0</v>
      </c>
      <c r="K193" t="e">
        <f>_xlfn.IFNA(VLOOKUP(TRIM(#REF!),Data!$A:$D,4,0)*#REF!,0)</f>
        <v>#REF!</v>
      </c>
      <c r="L193">
        <f>IF(TRIM('DL 1'!G194)="EDCLNHT0IRNLI",20000,0)</f>
        <v>0</v>
      </c>
      <c r="M193">
        <f>IF(ISERROR(MATCH('DL 1'!A194,#REF!,0)),0,J193*2)</f>
        <v>0</v>
      </c>
      <c r="N193" t="e">
        <f>#REF!</f>
        <v>#REF!</v>
      </c>
      <c r="O193">
        <f>_xlfn.IFNA(VLOOKUP(RIGHT(VLOOKUP(TRIM('DL 1'!G194),Data!$A:$B,2,0),1),Data!$L$23:$M$30,2,0),0)</f>
        <v>0</v>
      </c>
      <c r="P193">
        <f t="shared" si="30"/>
        <v>0</v>
      </c>
      <c r="Q193" s="7" t="b">
        <f t="shared" si="21"/>
        <v>0</v>
      </c>
      <c r="R193" s="27">
        <f>INCENTIVE!$E$8</f>
        <v>130000000</v>
      </c>
      <c r="S193">
        <f>'DL 1'!D194</f>
        <v>0</v>
      </c>
      <c r="T193" t="str">
        <f t="shared" si="22"/>
        <v>1</v>
      </c>
      <c r="V193" t="str">
        <f t="shared" si="23"/>
        <v>1</v>
      </c>
      <c r="W193">
        <f t="shared" si="24"/>
        <v>0.25</v>
      </c>
      <c r="X193" s="7">
        <f>'DL 1'!E194</f>
        <v>0</v>
      </c>
      <c r="Y193" s="69">
        <f>'DL 1'!G194</f>
        <v>0</v>
      </c>
      <c r="AC193" t="str">
        <f>IFERROR(VLOOKUP(Y193,Data!$G$65:$K$79,2,0) *X193,"")</f>
        <v/>
      </c>
      <c r="AD193" s="7">
        <f t="shared" si="25"/>
        <v>0</v>
      </c>
      <c r="AE193">
        <f>'DL 1'!F194</f>
        <v>0</v>
      </c>
      <c r="AF193" t="str">
        <f>IFERROR(VLOOKUP(Y193,Data!$G$65:$K$79,4,0),"")</f>
        <v/>
      </c>
      <c r="AG193" s="51" t="e">
        <f>#REF!</f>
        <v>#REF!</v>
      </c>
      <c r="AK193">
        <f t="shared" si="26"/>
        <v>0</v>
      </c>
      <c r="AL193">
        <f t="shared" si="27"/>
        <v>0</v>
      </c>
      <c r="AM193" s="70">
        <f t="shared" si="28"/>
        <v>0</v>
      </c>
      <c r="AN193" s="7" t="b">
        <f t="shared" si="29"/>
        <v>0</v>
      </c>
    </row>
    <row r="194" spans="1:40" x14ac:dyDescent="0.3">
      <c r="A194" s="50">
        <f>IF(D194="A",_xlfn.IFNA(INDEX(Data!$H$24:$J$28,MATCH('DL 1'!E195,Data!$G$24:$G$28,1),MATCH('DL 1'!D195,Data!$H$23:$J$23,1)),0),0)</f>
        <v>0</v>
      </c>
      <c r="B194">
        <f>IF('DL 1'!F195="Y",Q194,0)</f>
        <v>0</v>
      </c>
      <c r="C194" t="e">
        <f>_xlfn.IFNA(INDEX(Data!$H$24:$J$28,MATCH(#REF!,Data!$G$24:$G$28,1),MATCH(#REF!,Data!$H$23:$J$23,1)),0)</f>
        <v>#REF!</v>
      </c>
      <c r="D194" t="str">
        <f>RIGHT(TRIM('DL 1'!G195),1)</f>
        <v/>
      </c>
      <c r="E194" s="8">
        <f>'DL 1'!E195*'DL 1'!D195</f>
        <v>0</v>
      </c>
      <c r="F194" t="str">
        <f>_xlfn.IFNA(VLOOKUP(TRIM('DL 1'!G195),Data!$A:$C,3,0),"")</f>
        <v/>
      </c>
      <c r="G194" s="7">
        <f>'DL 1'!E195</f>
        <v>0</v>
      </c>
      <c r="H194" s="21">
        <f>_xlfn.IFNA(VLOOKUP(TRIM('DL 1'!G195),Data!$A:$D,4,0),0)</f>
        <v>0</v>
      </c>
      <c r="I194">
        <f>_xlfn.IFNA(INDEX(Data!$G$5:$K$10,MATCH('DL 1'!D195,Data!$F$5:$F$10,1),MATCH(_xlfn.SINGLE(#REF!),Data!$G$4:$K$4,1)),0)</f>
        <v>0</v>
      </c>
      <c r="J194">
        <f>_xlfn.IFNA(IF(VLOOKUP(TRIM('DL 1'!G195),Data!$A:$C,3,0)="ST1",H194*I194*G194,IF(VLOOKUP(TRIM('DL 1'!G195),Data!$A:$C,3,0)="IR0",H194*G194,MIN(H194:I194)*G194)),0)</f>
        <v>0</v>
      </c>
      <c r="K194" t="e">
        <f>_xlfn.IFNA(VLOOKUP(TRIM(#REF!),Data!$A:$D,4,0)*#REF!,0)</f>
        <v>#REF!</v>
      </c>
      <c r="L194">
        <f>IF(TRIM('DL 1'!G195)="EDCLNHT0IRNLI",20000,0)</f>
        <v>0</v>
      </c>
      <c r="M194">
        <f>IF(ISERROR(MATCH('DL 1'!A195,#REF!,0)),0,J194*2)</f>
        <v>0</v>
      </c>
      <c r="N194" t="e">
        <f>#REF!</f>
        <v>#REF!</v>
      </c>
      <c r="O194">
        <f>_xlfn.IFNA(VLOOKUP(RIGHT(VLOOKUP(TRIM('DL 1'!G195),Data!$A:$B,2,0),1),Data!$L$23:$M$30,2,0),0)</f>
        <v>0</v>
      </c>
      <c r="P194">
        <f t="shared" si="30"/>
        <v>0</v>
      </c>
      <c r="Q194" s="7" t="b">
        <f t="shared" si="21"/>
        <v>0</v>
      </c>
      <c r="R194" s="27">
        <f>INCENTIVE!$E$8</f>
        <v>130000000</v>
      </c>
      <c r="S194">
        <f>'DL 1'!D195</f>
        <v>0</v>
      </c>
      <c r="T194" t="str">
        <f t="shared" si="22"/>
        <v>1</v>
      </c>
      <c r="V194" t="str">
        <f t="shared" si="23"/>
        <v>1</v>
      </c>
      <c r="W194">
        <f t="shared" si="24"/>
        <v>0.25</v>
      </c>
      <c r="X194" s="7">
        <f>'DL 1'!E195</f>
        <v>0</v>
      </c>
      <c r="Y194" s="69">
        <f>'DL 1'!G195</f>
        <v>0</v>
      </c>
      <c r="AC194" t="str">
        <f>IFERROR(VLOOKUP(Y194,Data!$G$65:$K$79,2,0) *X194,"")</f>
        <v/>
      </c>
      <c r="AD194" s="7">
        <f t="shared" si="25"/>
        <v>0</v>
      </c>
      <c r="AE194">
        <f>'DL 1'!F195</f>
        <v>0</v>
      </c>
      <c r="AF194" t="str">
        <f>IFERROR(VLOOKUP(Y194,Data!$G$65:$K$79,4,0),"")</f>
        <v/>
      </c>
      <c r="AG194" s="51" t="e">
        <f>#REF!</f>
        <v>#REF!</v>
      </c>
      <c r="AK194">
        <f t="shared" si="26"/>
        <v>0</v>
      </c>
      <c r="AL194">
        <f t="shared" si="27"/>
        <v>0</v>
      </c>
      <c r="AM194" s="70">
        <f t="shared" si="28"/>
        <v>0</v>
      </c>
      <c r="AN194" s="7" t="b">
        <f t="shared" si="29"/>
        <v>0</v>
      </c>
    </row>
    <row r="195" spans="1:40" x14ac:dyDescent="0.3">
      <c r="A195" s="50">
        <f>IF(D195="A",_xlfn.IFNA(INDEX(Data!$H$24:$J$28,MATCH('DL 1'!E196,Data!$G$24:$G$28,1),MATCH('DL 1'!D196,Data!$H$23:$J$23,1)),0),0)</f>
        <v>0</v>
      </c>
      <c r="B195">
        <f>IF('DL 1'!F196="Y",Q195,0)</f>
        <v>0</v>
      </c>
      <c r="C195" t="e">
        <f>_xlfn.IFNA(INDEX(Data!$H$24:$J$28,MATCH(#REF!,Data!$G$24:$G$28,1),MATCH(#REF!,Data!$H$23:$J$23,1)),0)</f>
        <v>#REF!</v>
      </c>
      <c r="D195" t="str">
        <f>RIGHT(TRIM('DL 1'!G196),1)</f>
        <v/>
      </c>
      <c r="E195" s="8">
        <f>'DL 1'!E196*'DL 1'!D196</f>
        <v>0</v>
      </c>
      <c r="F195" t="str">
        <f>_xlfn.IFNA(VLOOKUP(TRIM('DL 1'!G196),Data!$A:$C,3,0),"")</f>
        <v/>
      </c>
      <c r="G195" s="7">
        <f>'DL 1'!E196</f>
        <v>0</v>
      </c>
      <c r="H195" s="21">
        <f>_xlfn.IFNA(VLOOKUP(TRIM('DL 1'!G196),Data!$A:$D,4,0),0)</f>
        <v>0</v>
      </c>
      <c r="I195">
        <f>_xlfn.IFNA(INDEX(Data!$G$5:$K$10,MATCH('DL 1'!D196,Data!$F$5:$F$10,1),MATCH(_xlfn.SINGLE(#REF!),Data!$G$4:$K$4,1)),0)</f>
        <v>0</v>
      </c>
      <c r="J195">
        <f>_xlfn.IFNA(IF(VLOOKUP(TRIM('DL 1'!G196),Data!$A:$C,3,0)="ST1",H195*I195*G195,IF(VLOOKUP(TRIM('DL 1'!G196),Data!$A:$C,3,0)="IR0",H195*G195,MIN(H195:I195)*G195)),0)</f>
        <v>0</v>
      </c>
      <c r="K195" t="e">
        <f>_xlfn.IFNA(VLOOKUP(TRIM(#REF!),Data!$A:$D,4,0)*#REF!,0)</f>
        <v>#REF!</v>
      </c>
      <c r="L195">
        <f>IF(TRIM('DL 1'!G196)="EDCLNHT0IRNLI",20000,0)</f>
        <v>0</v>
      </c>
      <c r="M195">
        <f>IF(ISERROR(MATCH('DL 1'!A196,#REF!,0)),0,J195*2)</f>
        <v>0</v>
      </c>
      <c r="N195" t="e">
        <f>#REF!</f>
        <v>#REF!</v>
      </c>
      <c r="O195">
        <f>_xlfn.IFNA(VLOOKUP(RIGHT(VLOOKUP(TRIM('DL 1'!G196),Data!$A:$B,2,0),1),Data!$L$23:$M$30,2,0),0)</f>
        <v>0</v>
      </c>
      <c r="P195">
        <f t="shared" si="30"/>
        <v>0</v>
      </c>
      <c r="Q195" s="7" t="b">
        <f t="shared" ref="Q195:Q258" si="31">IF(AND(P195=1,S195&lt;15),10000,IF(AND(P195=1,S195&gt;=15,S195&lt;18),15000,IF(AND(P195=1,S195&gt;=18),20000,(IF(AND(P195=2,S195&lt;15),18000,IF(AND(P195=2,S195&gt;=15,S195&lt;18),23000,IF(AND(P195=2,S195&gt;=18),28000,IF(AND(P195=3,S195&lt;15),26000,IF(AND(P195=3,S195&gt;=15,S195&lt;18),31000,IF(AND(P195=3,S195&gt;=18),36000,IF(AND(P195=4,S195&lt;15),34000,IF(AND(P195=4,S195&gt;=15,S195&lt;18),39000,IF(AND(P195=4,S195&gt;=18),44000)))))))))))))</f>
        <v>0</v>
      </c>
      <c r="R195" s="27">
        <f>INCENTIVE!$E$8</f>
        <v>130000000</v>
      </c>
      <c r="S195">
        <f>'DL 1'!D196</f>
        <v>0</v>
      </c>
      <c r="T195" t="str">
        <f t="shared" ref="T195:T258" si="32">(IF(S195&gt;=24,"5",IF(S195&gt;=18,"4",IF(S195&gt;=15,"3",IF(S195&gt;=12,"2","1")))))</f>
        <v>1</v>
      </c>
      <c r="V195" t="str">
        <f t="shared" ref="V195:V258" si="33">(IF(S195&gt;=12,"6",IF(S195&gt;=9,"5",IF(S195&gt;=8,"4",IF(S195&gt;=7,"3",IF(S195=6,"2","1"))))))</f>
        <v>1</v>
      </c>
      <c r="W195">
        <f t="shared" ref="W195:W258" si="34">IF(AND(V195="6",R195&gt;=7.7),115%,IF(AND(V195="6",R195&gt;=7.5),105%,IF(AND(V195="6",R195&gt;=7.3),100%,IF(AND(V195="6",R195&gt;=7),100%,IF(AND(V195="6",R195&lt;7),100%,IF(AND(V195="5",R195&gt;=7.7),110%,IF(AND(V195="5",R195&gt;=7.5),100%,IF(AND(V195="5",R195&gt;=7.3),100%,IF(AND(V195="5",R195&gt;=7),100%,IF(AND(V195="5",R195&lt;7),100%,IF(AND(V195="4",R195&gt;=7.7),105%,IF(AND(V195="4",R195&gt;=7.5),100%,IF(AND(V195="4",R195&gt;=7.3),95%,IF(AND(V195="4",R195&gt;=7),90%,IF(AND(V195="4",R195&lt;7),80%,IF(AND(V195="3",R195&gt;=7.7),100%,IF(AND(V195="3",R195&gt;=7.5),90%,IF(AND(V195="3",R195&gt;=7.3),80%,IF(AND(V195="3",R195&gt;=7),70%,IF(AND(V195="3",R195&lt;7),60%,IF(AND(V195="2",R195&gt;=7.7),60%,IF(AND(V195="2",R195&gt;=7.5),50%,IF(AND(V195="2",R195&gt;=7.3),35%,IF(AND(V195="2",R195&gt;=7),35%,IF(AND(V195="2",R195&lt;7),25%,25%)))))))))))))))))))))))))</f>
        <v>0.25</v>
      </c>
      <c r="X195" s="7">
        <f>'DL 1'!E196</f>
        <v>0</v>
      </c>
      <c r="Y195" s="69">
        <f>'DL 1'!G196</f>
        <v>0</v>
      </c>
      <c r="AC195" t="str">
        <f>IFERROR(VLOOKUP(Y195,Data!$G$65:$K$79,2,0) *X195,"")</f>
        <v/>
      </c>
      <c r="AD195" s="7">
        <f t="shared" ref="AD195:AD258" si="35">SUM(AC195)</f>
        <v>0</v>
      </c>
      <c r="AE195">
        <f>'DL 1'!F196</f>
        <v>0</v>
      </c>
      <c r="AF195" t="str">
        <f>IFERROR(VLOOKUP(Y195,Data!$G$65:$K$79,4,0),"")</f>
        <v/>
      </c>
      <c r="AG195" s="51" t="e">
        <f>#REF!</f>
        <v>#REF!</v>
      </c>
      <c r="AK195">
        <f t="shared" ref="AK195:AK258" si="36">IF(G195&lt;1,0,IF(G195&lt;12000000,1,IF(AND(G195&gt;=12000000,G195&lt;25000000),2,IF(AND(G195&gt;=25000000,G195&lt;50000000),3,IF(AND(G195&gt;=50000000),4,)))))</f>
        <v>0</v>
      </c>
      <c r="AL195">
        <f t="shared" ref="AL195:AL258" si="37">IF(AND(S195&lt;12,Y195="A"),0.9,IF(AND(S195&lt;12,Y195="B"),0.7,IF(AND(S195&lt;12,Y195="C"),0,IF(AND(S195&lt;12,Y195="D"),0,IF(AND(S195&gt;=12,S195&lt;15,Y195="A"),1.2,IF(AND(S195&gt;=12,S195&lt;15,Y195="B"),1,IF(AND(S195&gt;=12,S195&lt;15,Y195="C"),0.1,IF(AND(S195&gt;=12,S195&lt;15,Y195="D"),0,IF(AND(S195&gt;=15,S195&lt;18,Y195="A"),1.3,IF(AND(S195&gt;=15,S195&lt;18,Y195="B"),1.1,IF(AND(S195&gt;=15,S195&lt;18,Y195="C"),0.3,IF(AND(S195&gt;=15,S195&lt;18,Y195="D"),0,IF(AND(S195&gt;=18,S195&lt;24,Y195="A"),1.5,IF(AND(S195&gt;=18,S195&lt;24,Y195="B"),1.3,IF(AND(S195&gt;=18,S195&lt;24,Y195="C"),0.4,IF(AND(S195&gt;=18,S195&lt;24,Y195="D"),0,IF(AND(S195&gt;=24,Y195="A"),1.6,IF(AND(S195&gt;=24,Y195="B"),1.4,IF(AND(S195&gt;=24,Y195="C"),0.5,IF(AND(S195&gt;=24,Y195="D"),0,))))))))))))))))))))</f>
        <v>0</v>
      </c>
      <c r="AM195" s="70">
        <f t="shared" ref="AM195:AM258" si="38">X195*(AL195/100)</f>
        <v>0</v>
      </c>
      <c r="AN195" s="7" t="b">
        <f t="shared" ref="AN195:AN258" si="39">Q195</f>
        <v>0</v>
      </c>
    </row>
    <row r="196" spans="1:40" x14ac:dyDescent="0.3">
      <c r="A196" s="50">
        <f>IF(D196="A",_xlfn.IFNA(INDEX(Data!$H$24:$J$28,MATCH('DL 1'!E197,Data!$G$24:$G$28,1),MATCH('DL 1'!D197,Data!$H$23:$J$23,1)),0),0)</f>
        <v>0</v>
      </c>
      <c r="B196">
        <f>IF('DL 1'!F197="Y",Q196,0)</f>
        <v>0</v>
      </c>
      <c r="C196" t="e">
        <f>_xlfn.IFNA(INDEX(Data!$H$24:$J$28,MATCH(#REF!,Data!$G$24:$G$28,1),MATCH(#REF!,Data!$H$23:$J$23,1)),0)</f>
        <v>#REF!</v>
      </c>
      <c r="D196" t="str">
        <f>RIGHT(TRIM('DL 1'!G197),1)</f>
        <v/>
      </c>
      <c r="E196" s="8">
        <f>'DL 1'!E197*'DL 1'!D197</f>
        <v>0</v>
      </c>
      <c r="F196" t="str">
        <f>_xlfn.IFNA(VLOOKUP(TRIM('DL 1'!G197),Data!$A:$C,3,0),"")</f>
        <v/>
      </c>
      <c r="G196" s="7">
        <f>'DL 1'!E197</f>
        <v>0</v>
      </c>
      <c r="H196" s="21">
        <f>_xlfn.IFNA(VLOOKUP(TRIM('DL 1'!G197),Data!$A:$D,4,0),0)</f>
        <v>0</v>
      </c>
      <c r="I196">
        <f>_xlfn.IFNA(INDEX(Data!$G$5:$K$10,MATCH('DL 1'!D197,Data!$F$5:$F$10,1),MATCH(_xlfn.SINGLE(#REF!),Data!$G$4:$K$4,1)),0)</f>
        <v>0</v>
      </c>
      <c r="J196">
        <f>_xlfn.IFNA(IF(VLOOKUP(TRIM('DL 1'!G197),Data!$A:$C,3,0)="ST1",H196*I196*G196,IF(VLOOKUP(TRIM('DL 1'!G197),Data!$A:$C,3,0)="IR0",H196*G196,MIN(H196:I196)*G196)),0)</f>
        <v>0</v>
      </c>
      <c r="K196" t="e">
        <f>_xlfn.IFNA(VLOOKUP(TRIM(#REF!),Data!$A:$D,4,0)*#REF!,0)</f>
        <v>#REF!</v>
      </c>
      <c r="L196">
        <f>IF(TRIM('DL 1'!G197)="EDCLNHT0IRNLI",20000,0)</f>
        <v>0</v>
      </c>
      <c r="M196">
        <f>IF(ISERROR(MATCH('DL 1'!A197,#REF!,0)),0,J196*2)</f>
        <v>0</v>
      </c>
      <c r="N196" t="e">
        <f>#REF!</f>
        <v>#REF!</v>
      </c>
      <c r="O196">
        <f>_xlfn.IFNA(VLOOKUP(RIGHT(VLOOKUP(TRIM('DL 1'!G197),Data!$A:$B,2,0),1),Data!$L$23:$M$30,2,0),0)</f>
        <v>0</v>
      </c>
      <c r="P196">
        <f t="shared" ref="P196:P259" si="40">IF(G196&lt;1,0,IF(G196&lt;12000000,1,IF(AND(G196&gt;=12000000,G196&lt;25000000),2,IF(AND(G196&gt;=25000000,G196&lt;50000000),3,IF(AND(G196&gt;=50000000),4,)))))</f>
        <v>0</v>
      </c>
      <c r="Q196" s="7" t="b">
        <f t="shared" si="31"/>
        <v>0</v>
      </c>
      <c r="R196" s="27">
        <f>INCENTIVE!$E$8</f>
        <v>130000000</v>
      </c>
      <c r="S196">
        <f>'DL 1'!D197</f>
        <v>0</v>
      </c>
      <c r="T196" t="str">
        <f t="shared" si="32"/>
        <v>1</v>
      </c>
      <c r="V196" t="str">
        <f t="shared" si="33"/>
        <v>1</v>
      </c>
      <c r="W196">
        <f t="shared" si="34"/>
        <v>0.25</v>
      </c>
      <c r="X196" s="7">
        <f>'DL 1'!E197</f>
        <v>0</v>
      </c>
      <c r="Y196" s="69">
        <f>'DL 1'!G197</f>
        <v>0</v>
      </c>
      <c r="AC196" t="str">
        <f>IFERROR(VLOOKUP(Y196,Data!$G$65:$K$79,2,0) *X196,"")</f>
        <v/>
      </c>
      <c r="AD196" s="7">
        <f t="shared" si="35"/>
        <v>0</v>
      </c>
      <c r="AE196">
        <f>'DL 1'!F197</f>
        <v>0</v>
      </c>
      <c r="AF196" t="str">
        <f>IFERROR(VLOOKUP(Y196,Data!$G$65:$K$79,4,0),"")</f>
        <v/>
      </c>
      <c r="AG196" s="51" t="e">
        <f>#REF!</f>
        <v>#REF!</v>
      </c>
      <c r="AK196">
        <f t="shared" si="36"/>
        <v>0</v>
      </c>
      <c r="AL196">
        <f t="shared" si="37"/>
        <v>0</v>
      </c>
      <c r="AM196" s="70">
        <f t="shared" si="38"/>
        <v>0</v>
      </c>
      <c r="AN196" s="7" t="b">
        <f t="shared" si="39"/>
        <v>0</v>
      </c>
    </row>
    <row r="197" spans="1:40" x14ac:dyDescent="0.3">
      <c r="A197" s="50">
        <f>IF(D197="A",_xlfn.IFNA(INDEX(Data!$H$24:$J$28,MATCH('DL 1'!E198,Data!$G$24:$G$28,1),MATCH('DL 1'!D198,Data!$H$23:$J$23,1)),0),0)</f>
        <v>0</v>
      </c>
      <c r="B197">
        <f>IF('DL 1'!F198="Y",Q197,0)</f>
        <v>0</v>
      </c>
      <c r="C197" t="e">
        <f>_xlfn.IFNA(INDEX(Data!$H$24:$J$28,MATCH(#REF!,Data!$G$24:$G$28,1),MATCH(#REF!,Data!$H$23:$J$23,1)),0)</f>
        <v>#REF!</v>
      </c>
      <c r="D197" t="str">
        <f>RIGHT(TRIM('DL 1'!G198),1)</f>
        <v/>
      </c>
      <c r="E197" s="8">
        <f>'DL 1'!E198*'DL 1'!D198</f>
        <v>0</v>
      </c>
      <c r="F197" t="str">
        <f>_xlfn.IFNA(VLOOKUP(TRIM('DL 1'!G198),Data!$A:$C,3,0),"")</f>
        <v/>
      </c>
      <c r="G197" s="7">
        <f>'DL 1'!E198</f>
        <v>0</v>
      </c>
      <c r="H197" s="21">
        <f>_xlfn.IFNA(VLOOKUP(TRIM('DL 1'!G198),Data!$A:$D,4,0),0)</f>
        <v>0</v>
      </c>
      <c r="I197">
        <f>_xlfn.IFNA(INDEX(Data!$G$5:$K$10,MATCH('DL 1'!D198,Data!$F$5:$F$10,1),MATCH(_xlfn.SINGLE(#REF!),Data!$G$4:$K$4,1)),0)</f>
        <v>0</v>
      </c>
      <c r="J197">
        <f>_xlfn.IFNA(IF(VLOOKUP(TRIM('DL 1'!G198),Data!$A:$C,3,0)="ST1",H197*I197*G197,IF(VLOOKUP(TRIM('DL 1'!G198),Data!$A:$C,3,0)="IR0",H197*G197,MIN(H197:I197)*G197)),0)</f>
        <v>0</v>
      </c>
      <c r="K197" t="e">
        <f>_xlfn.IFNA(VLOOKUP(TRIM(#REF!),Data!$A:$D,4,0)*#REF!,0)</f>
        <v>#REF!</v>
      </c>
      <c r="L197">
        <f>IF(TRIM('DL 1'!G198)="EDCLNHT0IRNLI",20000,0)</f>
        <v>0</v>
      </c>
      <c r="M197">
        <f>IF(ISERROR(MATCH('DL 1'!A198,#REF!,0)),0,J197*2)</f>
        <v>0</v>
      </c>
      <c r="N197" t="e">
        <f>#REF!</f>
        <v>#REF!</v>
      </c>
      <c r="O197">
        <f>_xlfn.IFNA(VLOOKUP(RIGHT(VLOOKUP(TRIM('DL 1'!G198),Data!$A:$B,2,0),1),Data!$L$23:$M$30,2,0),0)</f>
        <v>0</v>
      </c>
      <c r="P197">
        <f t="shared" si="40"/>
        <v>0</v>
      </c>
      <c r="Q197" s="7" t="b">
        <f t="shared" si="31"/>
        <v>0</v>
      </c>
      <c r="R197" s="27">
        <f>INCENTIVE!$E$8</f>
        <v>130000000</v>
      </c>
      <c r="S197">
        <f>'DL 1'!D198</f>
        <v>0</v>
      </c>
      <c r="T197" t="str">
        <f t="shared" si="32"/>
        <v>1</v>
      </c>
      <c r="V197" t="str">
        <f t="shared" si="33"/>
        <v>1</v>
      </c>
      <c r="W197">
        <f t="shared" si="34"/>
        <v>0.25</v>
      </c>
      <c r="X197" s="7">
        <f>'DL 1'!E198</f>
        <v>0</v>
      </c>
      <c r="Y197" s="69">
        <f>'DL 1'!G198</f>
        <v>0</v>
      </c>
      <c r="AC197" t="str">
        <f>IFERROR(VLOOKUP(Y197,Data!$G$65:$K$79,2,0) *X197,"")</f>
        <v/>
      </c>
      <c r="AD197" s="7">
        <f t="shared" si="35"/>
        <v>0</v>
      </c>
      <c r="AE197">
        <f>'DL 1'!F198</f>
        <v>0</v>
      </c>
      <c r="AF197" t="str">
        <f>IFERROR(VLOOKUP(Y197,Data!$G$65:$K$79,4,0),"")</f>
        <v/>
      </c>
      <c r="AG197" s="51" t="e">
        <f>#REF!</f>
        <v>#REF!</v>
      </c>
      <c r="AK197">
        <f t="shared" si="36"/>
        <v>0</v>
      </c>
      <c r="AL197">
        <f t="shared" si="37"/>
        <v>0</v>
      </c>
      <c r="AM197" s="70">
        <f t="shared" si="38"/>
        <v>0</v>
      </c>
      <c r="AN197" s="7" t="b">
        <f t="shared" si="39"/>
        <v>0</v>
      </c>
    </row>
    <row r="198" spans="1:40" x14ac:dyDescent="0.3">
      <c r="A198" s="50">
        <f>IF(D198="A",_xlfn.IFNA(INDEX(Data!$H$24:$J$28,MATCH('DL 1'!E199,Data!$G$24:$G$28,1),MATCH('DL 1'!D199,Data!$H$23:$J$23,1)),0),0)</f>
        <v>0</v>
      </c>
      <c r="B198">
        <f>IF('DL 1'!F199="Y",Q198,0)</f>
        <v>0</v>
      </c>
      <c r="C198" t="e">
        <f>_xlfn.IFNA(INDEX(Data!$H$24:$J$28,MATCH(#REF!,Data!$G$24:$G$28,1),MATCH(#REF!,Data!$H$23:$J$23,1)),0)</f>
        <v>#REF!</v>
      </c>
      <c r="D198" t="str">
        <f>RIGHT(TRIM('DL 1'!G199),1)</f>
        <v/>
      </c>
      <c r="E198" s="8">
        <f>'DL 1'!E199*'DL 1'!D199</f>
        <v>0</v>
      </c>
      <c r="F198" t="str">
        <f>_xlfn.IFNA(VLOOKUP(TRIM('DL 1'!G199),Data!$A:$C,3,0),"")</f>
        <v/>
      </c>
      <c r="G198" s="7">
        <f>'DL 1'!E199</f>
        <v>0</v>
      </c>
      <c r="H198" s="21">
        <f>_xlfn.IFNA(VLOOKUP(TRIM('DL 1'!G199),Data!$A:$D,4,0),0)</f>
        <v>0</v>
      </c>
      <c r="I198">
        <f>_xlfn.IFNA(INDEX(Data!$G$5:$K$10,MATCH('DL 1'!D199,Data!$F$5:$F$10,1),MATCH(_xlfn.SINGLE(#REF!),Data!$G$4:$K$4,1)),0)</f>
        <v>0</v>
      </c>
      <c r="J198">
        <f>_xlfn.IFNA(IF(VLOOKUP(TRIM('DL 1'!G199),Data!$A:$C,3,0)="ST1",H198*I198*G198,IF(VLOOKUP(TRIM('DL 1'!G199),Data!$A:$C,3,0)="IR0",H198*G198,MIN(H198:I198)*G198)),0)</f>
        <v>0</v>
      </c>
      <c r="K198" t="e">
        <f>_xlfn.IFNA(VLOOKUP(TRIM(#REF!),Data!$A:$D,4,0)*#REF!,0)</f>
        <v>#REF!</v>
      </c>
      <c r="L198">
        <f>IF(TRIM('DL 1'!G199)="EDCLNHT0IRNLI",20000,0)</f>
        <v>0</v>
      </c>
      <c r="M198">
        <f>IF(ISERROR(MATCH('DL 1'!A199,#REF!,0)),0,J198*2)</f>
        <v>0</v>
      </c>
      <c r="N198" t="e">
        <f>#REF!</f>
        <v>#REF!</v>
      </c>
      <c r="O198">
        <f>_xlfn.IFNA(VLOOKUP(RIGHT(VLOOKUP(TRIM('DL 1'!G199),Data!$A:$B,2,0),1),Data!$L$23:$M$30,2,0),0)</f>
        <v>0</v>
      </c>
      <c r="P198">
        <f t="shared" si="40"/>
        <v>0</v>
      </c>
      <c r="Q198" s="7" t="b">
        <f t="shared" si="31"/>
        <v>0</v>
      </c>
      <c r="R198" s="27">
        <f>INCENTIVE!$E$8</f>
        <v>130000000</v>
      </c>
      <c r="S198">
        <f>'DL 1'!D199</f>
        <v>0</v>
      </c>
      <c r="T198" t="str">
        <f t="shared" si="32"/>
        <v>1</v>
      </c>
      <c r="V198" t="str">
        <f t="shared" si="33"/>
        <v>1</v>
      </c>
      <c r="W198">
        <f t="shared" si="34"/>
        <v>0.25</v>
      </c>
      <c r="X198" s="7">
        <f>'DL 1'!E199</f>
        <v>0</v>
      </c>
      <c r="Y198" s="69">
        <f>'DL 1'!G199</f>
        <v>0</v>
      </c>
      <c r="AC198" t="str">
        <f>IFERROR(VLOOKUP(Y198,Data!$G$65:$K$79,2,0) *X198,"")</f>
        <v/>
      </c>
      <c r="AD198" s="7">
        <f t="shared" si="35"/>
        <v>0</v>
      </c>
      <c r="AE198">
        <f>'DL 1'!F199</f>
        <v>0</v>
      </c>
      <c r="AF198" t="str">
        <f>IFERROR(VLOOKUP(Y198,Data!$G$65:$K$79,4,0),"")</f>
        <v/>
      </c>
      <c r="AG198" s="51" t="e">
        <f>#REF!</f>
        <v>#REF!</v>
      </c>
      <c r="AK198">
        <f t="shared" si="36"/>
        <v>0</v>
      </c>
      <c r="AL198">
        <f t="shared" si="37"/>
        <v>0</v>
      </c>
      <c r="AM198" s="70">
        <f t="shared" si="38"/>
        <v>0</v>
      </c>
      <c r="AN198" s="7" t="b">
        <f t="shared" si="39"/>
        <v>0</v>
      </c>
    </row>
    <row r="199" spans="1:40" x14ac:dyDescent="0.3">
      <c r="A199" s="50">
        <f>IF(D199="A",_xlfn.IFNA(INDEX(Data!$H$24:$J$28,MATCH('DL 1'!E200,Data!$G$24:$G$28,1),MATCH('DL 1'!D200,Data!$H$23:$J$23,1)),0),0)</f>
        <v>0</v>
      </c>
      <c r="B199">
        <f>IF('DL 1'!F200="Y",Q199,0)</f>
        <v>0</v>
      </c>
      <c r="C199" t="e">
        <f>_xlfn.IFNA(INDEX(Data!$H$24:$J$28,MATCH(#REF!,Data!$G$24:$G$28,1),MATCH(#REF!,Data!$H$23:$J$23,1)),0)</f>
        <v>#REF!</v>
      </c>
      <c r="D199" t="str">
        <f>RIGHT(TRIM('DL 1'!G200),1)</f>
        <v/>
      </c>
      <c r="E199" s="8">
        <f>'DL 1'!E200*'DL 1'!D200</f>
        <v>0</v>
      </c>
      <c r="F199" t="str">
        <f>_xlfn.IFNA(VLOOKUP(TRIM('DL 1'!G200),Data!$A:$C,3,0),"")</f>
        <v/>
      </c>
      <c r="G199" s="7">
        <f>'DL 1'!E200</f>
        <v>0</v>
      </c>
      <c r="H199" s="21">
        <f>_xlfn.IFNA(VLOOKUP(TRIM('DL 1'!G200),Data!$A:$D,4,0),0)</f>
        <v>0</v>
      </c>
      <c r="I199">
        <f>_xlfn.IFNA(INDEX(Data!$G$5:$K$10,MATCH('DL 1'!D200,Data!$F$5:$F$10,1),MATCH(_xlfn.SINGLE(#REF!),Data!$G$4:$K$4,1)),0)</f>
        <v>0</v>
      </c>
      <c r="J199">
        <f>_xlfn.IFNA(IF(VLOOKUP(TRIM('DL 1'!G200),Data!$A:$C,3,0)="ST1",H199*I199*G199,IF(VLOOKUP(TRIM('DL 1'!G200),Data!$A:$C,3,0)="IR0",H199*G199,MIN(H199:I199)*G199)),0)</f>
        <v>0</v>
      </c>
      <c r="K199" t="e">
        <f>_xlfn.IFNA(VLOOKUP(TRIM(#REF!),Data!$A:$D,4,0)*#REF!,0)</f>
        <v>#REF!</v>
      </c>
      <c r="L199">
        <f>IF(TRIM('DL 1'!G200)="EDCLNHT0IRNLI",20000,0)</f>
        <v>0</v>
      </c>
      <c r="M199">
        <f>IF(ISERROR(MATCH('DL 1'!A200,#REF!,0)),0,J199*2)</f>
        <v>0</v>
      </c>
      <c r="N199" t="e">
        <f>#REF!</f>
        <v>#REF!</v>
      </c>
      <c r="O199">
        <f>_xlfn.IFNA(VLOOKUP(RIGHT(VLOOKUP(TRIM('DL 1'!G200),Data!$A:$B,2,0),1),Data!$L$23:$M$30,2,0),0)</f>
        <v>0</v>
      </c>
      <c r="P199">
        <f t="shared" si="40"/>
        <v>0</v>
      </c>
      <c r="Q199" s="7" t="b">
        <f t="shared" si="31"/>
        <v>0</v>
      </c>
      <c r="R199" s="27">
        <f>INCENTIVE!$E$8</f>
        <v>130000000</v>
      </c>
      <c r="S199">
        <f>'DL 1'!D200</f>
        <v>0</v>
      </c>
      <c r="T199" t="str">
        <f t="shared" si="32"/>
        <v>1</v>
      </c>
      <c r="V199" t="str">
        <f t="shared" si="33"/>
        <v>1</v>
      </c>
      <c r="W199">
        <f t="shared" si="34"/>
        <v>0.25</v>
      </c>
      <c r="X199" s="7">
        <f>'DL 1'!E200</f>
        <v>0</v>
      </c>
      <c r="Y199" s="69">
        <f>'DL 1'!G200</f>
        <v>0</v>
      </c>
      <c r="AC199" t="str">
        <f>IFERROR(VLOOKUP(Y199,Data!$G$65:$K$79,2,0) *X199,"")</f>
        <v/>
      </c>
      <c r="AD199" s="7">
        <f t="shared" si="35"/>
        <v>0</v>
      </c>
      <c r="AE199">
        <f>'DL 1'!F200</f>
        <v>0</v>
      </c>
      <c r="AF199" t="str">
        <f>IFERROR(VLOOKUP(Y199,Data!$G$65:$K$79,4,0),"")</f>
        <v/>
      </c>
      <c r="AG199" s="51" t="e">
        <f>#REF!</f>
        <v>#REF!</v>
      </c>
      <c r="AK199">
        <f t="shared" si="36"/>
        <v>0</v>
      </c>
      <c r="AL199">
        <f t="shared" si="37"/>
        <v>0</v>
      </c>
      <c r="AM199" s="70">
        <f t="shared" si="38"/>
        <v>0</v>
      </c>
      <c r="AN199" s="7" t="b">
        <f t="shared" si="39"/>
        <v>0</v>
      </c>
    </row>
    <row r="200" spans="1:40" x14ac:dyDescent="0.3">
      <c r="A200" s="50">
        <f>IF(D200="A",_xlfn.IFNA(INDEX(Data!$H$24:$J$28,MATCH('DL 1'!E201,Data!$G$24:$G$28,1),MATCH('DL 1'!D201,Data!$H$23:$J$23,1)),0),0)</f>
        <v>0</v>
      </c>
      <c r="B200">
        <f>IF('DL 1'!F201="Y",Q200,0)</f>
        <v>0</v>
      </c>
      <c r="C200" t="e">
        <f>_xlfn.IFNA(INDEX(Data!$H$24:$J$28,MATCH(#REF!,Data!$G$24:$G$28,1),MATCH(#REF!,Data!$H$23:$J$23,1)),0)</f>
        <v>#REF!</v>
      </c>
      <c r="D200" t="str">
        <f>RIGHT(TRIM('DL 1'!G201),1)</f>
        <v/>
      </c>
      <c r="E200" s="8">
        <f>'DL 1'!E201*'DL 1'!D201</f>
        <v>0</v>
      </c>
      <c r="F200" t="str">
        <f>_xlfn.IFNA(VLOOKUP(TRIM('DL 1'!G201),Data!$A:$C,3,0),"")</f>
        <v/>
      </c>
      <c r="G200" s="7">
        <f>'DL 1'!E201</f>
        <v>0</v>
      </c>
      <c r="H200" s="21">
        <f>_xlfn.IFNA(VLOOKUP(TRIM('DL 1'!G201),Data!$A:$D,4,0),0)</f>
        <v>0</v>
      </c>
      <c r="I200">
        <f>_xlfn.IFNA(INDEX(Data!$G$5:$K$10,MATCH('DL 1'!D201,Data!$F$5:$F$10,1),MATCH(_xlfn.SINGLE(#REF!),Data!$G$4:$K$4,1)),0)</f>
        <v>0</v>
      </c>
      <c r="J200">
        <f>_xlfn.IFNA(IF(VLOOKUP(TRIM('DL 1'!G201),Data!$A:$C,3,0)="ST1",H200*I200*G200,IF(VLOOKUP(TRIM('DL 1'!G201),Data!$A:$C,3,0)="IR0",H200*G200,MIN(H200:I200)*G200)),0)</f>
        <v>0</v>
      </c>
      <c r="K200" t="e">
        <f>_xlfn.IFNA(VLOOKUP(TRIM(#REF!),Data!$A:$D,4,0)*#REF!,0)</f>
        <v>#REF!</v>
      </c>
      <c r="L200">
        <f>IF(TRIM('DL 1'!G201)="EDCLNHT0IRNLI",20000,0)</f>
        <v>0</v>
      </c>
      <c r="M200">
        <f>IF(ISERROR(MATCH('DL 1'!A201,#REF!,0)),0,J200*2)</f>
        <v>0</v>
      </c>
      <c r="N200" t="e">
        <f>#REF!</f>
        <v>#REF!</v>
      </c>
      <c r="O200">
        <f>_xlfn.IFNA(VLOOKUP(RIGHT(VLOOKUP(TRIM('DL 1'!G201),Data!$A:$B,2,0),1),Data!$L$23:$M$30,2,0),0)</f>
        <v>0</v>
      </c>
      <c r="P200">
        <f t="shared" si="40"/>
        <v>0</v>
      </c>
      <c r="Q200" s="7" t="b">
        <f t="shared" si="31"/>
        <v>0</v>
      </c>
      <c r="R200" s="27">
        <f>INCENTIVE!$E$8</f>
        <v>130000000</v>
      </c>
      <c r="S200">
        <f>'DL 1'!D201</f>
        <v>0</v>
      </c>
      <c r="T200" t="str">
        <f t="shared" si="32"/>
        <v>1</v>
      </c>
      <c r="V200" t="str">
        <f t="shared" si="33"/>
        <v>1</v>
      </c>
      <c r="W200">
        <f t="shared" si="34"/>
        <v>0.25</v>
      </c>
      <c r="X200" s="7">
        <f>'DL 1'!E201</f>
        <v>0</v>
      </c>
      <c r="Y200" s="69">
        <f>'DL 1'!G201</f>
        <v>0</v>
      </c>
      <c r="AC200" t="str">
        <f>IFERROR(VLOOKUP(Y200,Data!$G$65:$K$79,2,0) *X200,"")</f>
        <v/>
      </c>
      <c r="AD200" s="7">
        <f t="shared" si="35"/>
        <v>0</v>
      </c>
      <c r="AE200">
        <f>'DL 1'!F201</f>
        <v>0</v>
      </c>
      <c r="AF200" t="str">
        <f>IFERROR(VLOOKUP(Y200,Data!$G$65:$K$79,4,0),"")</f>
        <v/>
      </c>
      <c r="AG200" s="51" t="e">
        <f>#REF!</f>
        <v>#REF!</v>
      </c>
      <c r="AK200">
        <f t="shared" si="36"/>
        <v>0</v>
      </c>
      <c r="AL200">
        <f t="shared" si="37"/>
        <v>0</v>
      </c>
      <c r="AM200" s="70">
        <f t="shared" si="38"/>
        <v>0</v>
      </c>
      <c r="AN200" s="7" t="b">
        <f t="shared" si="39"/>
        <v>0</v>
      </c>
    </row>
    <row r="201" spans="1:40" x14ac:dyDescent="0.3">
      <c r="A201" s="50">
        <f>IF(D201="A",_xlfn.IFNA(INDEX(Data!$H$24:$J$28,MATCH('DL 1'!E202,Data!$G$24:$G$28,1),MATCH('DL 1'!D202,Data!$H$23:$J$23,1)),0),0)</f>
        <v>0</v>
      </c>
      <c r="B201">
        <f>IF('DL 1'!F202="Y",Q201,0)</f>
        <v>0</v>
      </c>
      <c r="C201" t="e">
        <f>_xlfn.IFNA(INDEX(Data!$H$24:$J$28,MATCH(#REF!,Data!$G$24:$G$28,1),MATCH(#REF!,Data!$H$23:$J$23,1)),0)</f>
        <v>#REF!</v>
      </c>
      <c r="D201" t="str">
        <f>RIGHT(TRIM('DL 1'!G202),1)</f>
        <v/>
      </c>
      <c r="E201" s="8">
        <f>'DL 1'!E202*'DL 1'!D202</f>
        <v>0</v>
      </c>
      <c r="F201" t="str">
        <f>_xlfn.IFNA(VLOOKUP(TRIM('DL 1'!G202),Data!$A:$C,3,0),"")</f>
        <v/>
      </c>
      <c r="G201" s="7">
        <f>'DL 1'!E202</f>
        <v>0</v>
      </c>
      <c r="H201" s="21">
        <f>_xlfn.IFNA(VLOOKUP(TRIM('DL 1'!G202),Data!$A:$D,4,0),0)</f>
        <v>0</v>
      </c>
      <c r="I201">
        <f>_xlfn.IFNA(INDEX(Data!$G$5:$K$10,MATCH('DL 1'!D202,Data!$F$5:$F$10,1),MATCH(_xlfn.SINGLE(#REF!),Data!$G$4:$K$4,1)),0)</f>
        <v>0</v>
      </c>
      <c r="J201">
        <f>_xlfn.IFNA(IF(VLOOKUP(TRIM('DL 1'!G202),Data!$A:$C,3,0)="ST1",H201*I201*G201,IF(VLOOKUP(TRIM('DL 1'!G202),Data!$A:$C,3,0)="IR0",H201*G201,MIN(H201:I201)*G201)),0)</f>
        <v>0</v>
      </c>
      <c r="K201" t="e">
        <f>_xlfn.IFNA(VLOOKUP(TRIM(#REF!),Data!$A:$D,4,0)*#REF!,0)</f>
        <v>#REF!</v>
      </c>
      <c r="L201">
        <f>IF(TRIM('DL 1'!G202)="EDCLNHT0IRNLI",20000,0)</f>
        <v>0</v>
      </c>
      <c r="M201">
        <f>IF(ISERROR(MATCH('DL 1'!A202,#REF!,0)),0,J201*2)</f>
        <v>0</v>
      </c>
      <c r="N201" t="e">
        <f>#REF!</f>
        <v>#REF!</v>
      </c>
      <c r="O201">
        <f>_xlfn.IFNA(VLOOKUP(RIGHT(VLOOKUP(TRIM('DL 1'!G202),Data!$A:$B,2,0),1),Data!$L$23:$M$30,2,0),0)</f>
        <v>0</v>
      </c>
      <c r="P201">
        <f t="shared" si="40"/>
        <v>0</v>
      </c>
      <c r="Q201" s="7" t="b">
        <f t="shared" si="31"/>
        <v>0</v>
      </c>
      <c r="R201" s="27">
        <f>INCENTIVE!$E$8</f>
        <v>130000000</v>
      </c>
      <c r="S201">
        <f>'DL 1'!D202</f>
        <v>0</v>
      </c>
      <c r="T201" t="str">
        <f t="shared" si="32"/>
        <v>1</v>
      </c>
      <c r="V201" t="str">
        <f t="shared" si="33"/>
        <v>1</v>
      </c>
      <c r="W201">
        <f t="shared" si="34"/>
        <v>0.25</v>
      </c>
      <c r="X201" s="7">
        <f>'DL 1'!E202</f>
        <v>0</v>
      </c>
      <c r="Y201" s="69">
        <f>'DL 1'!G202</f>
        <v>0</v>
      </c>
      <c r="AC201" t="str">
        <f>IFERROR(VLOOKUP(Y201,Data!$G$65:$K$79,2,0) *X201,"")</f>
        <v/>
      </c>
      <c r="AD201" s="7">
        <f t="shared" si="35"/>
        <v>0</v>
      </c>
      <c r="AE201">
        <f>'DL 1'!F202</f>
        <v>0</v>
      </c>
      <c r="AF201" t="str">
        <f>IFERROR(VLOOKUP(Y201,Data!$G$65:$K$79,4,0),"")</f>
        <v/>
      </c>
      <c r="AG201" s="51" t="e">
        <f>#REF!</f>
        <v>#REF!</v>
      </c>
      <c r="AK201">
        <f t="shared" si="36"/>
        <v>0</v>
      </c>
      <c r="AL201">
        <f t="shared" si="37"/>
        <v>0</v>
      </c>
      <c r="AM201" s="70">
        <f t="shared" si="38"/>
        <v>0</v>
      </c>
      <c r="AN201" s="7" t="b">
        <f t="shared" si="39"/>
        <v>0</v>
      </c>
    </row>
    <row r="202" spans="1:40" x14ac:dyDescent="0.3">
      <c r="A202" s="50">
        <f>IF(D202="A",_xlfn.IFNA(INDEX(Data!$H$24:$J$28,MATCH('DL 1'!E203,Data!$G$24:$G$28,1),MATCH('DL 1'!D203,Data!$H$23:$J$23,1)),0),0)</f>
        <v>0</v>
      </c>
      <c r="B202">
        <f>IF('DL 1'!F203="Y",Q202,0)</f>
        <v>0</v>
      </c>
      <c r="C202" t="e">
        <f>_xlfn.IFNA(INDEX(Data!$H$24:$J$28,MATCH(#REF!,Data!$G$24:$G$28,1),MATCH(#REF!,Data!$H$23:$J$23,1)),0)</f>
        <v>#REF!</v>
      </c>
      <c r="D202" t="str">
        <f>RIGHT(TRIM('DL 1'!G203),1)</f>
        <v/>
      </c>
      <c r="E202" s="8">
        <f>'DL 1'!E203*'DL 1'!D203</f>
        <v>0</v>
      </c>
      <c r="F202" t="str">
        <f>_xlfn.IFNA(VLOOKUP(TRIM('DL 1'!G203),Data!$A:$C,3,0),"")</f>
        <v/>
      </c>
      <c r="G202" s="7">
        <f>'DL 1'!E203</f>
        <v>0</v>
      </c>
      <c r="H202" s="21">
        <f>_xlfn.IFNA(VLOOKUP(TRIM('DL 1'!G203),Data!$A:$D,4,0),0)</f>
        <v>0</v>
      </c>
      <c r="I202">
        <f>_xlfn.IFNA(INDEX(Data!$G$5:$K$10,MATCH('DL 1'!D203,Data!$F$5:$F$10,1),MATCH(_xlfn.SINGLE(#REF!),Data!$G$4:$K$4,1)),0)</f>
        <v>0</v>
      </c>
      <c r="J202">
        <f>_xlfn.IFNA(IF(VLOOKUP(TRIM('DL 1'!G203),Data!$A:$C,3,0)="ST1",H202*I202*G202,IF(VLOOKUP(TRIM('DL 1'!G203),Data!$A:$C,3,0)="IR0",H202*G202,MIN(H202:I202)*G202)),0)</f>
        <v>0</v>
      </c>
      <c r="K202" t="e">
        <f>_xlfn.IFNA(VLOOKUP(TRIM(#REF!),Data!$A:$D,4,0)*#REF!,0)</f>
        <v>#REF!</v>
      </c>
      <c r="L202">
        <f>IF(TRIM('DL 1'!G203)="EDCLNHT0IRNLI",20000,0)</f>
        <v>0</v>
      </c>
      <c r="M202">
        <f>IF(ISERROR(MATCH('DL 1'!A203,#REF!,0)),0,J202*2)</f>
        <v>0</v>
      </c>
      <c r="N202" t="e">
        <f>#REF!</f>
        <v>#REF!</v>
      </c>
      <c r="O202">
        <f>_xlfn.IFNA(VLOOKUP(RIGHT(VLOOKUP(TRIM('DL 1'!G203),Data!$A:$B,2,0),1),Data!$L$23:$M$30,2,0),0)</f>
        <v>0</v>
      </c>
      <c r="P202">
        <f t="shared" si="40"/>
        <v>0</v>
      </c>
      <c r="Q202" s="7" t="b">
        <f t="shared" si="31"/>
        <v>0</v>
      </c>
      <c r="R202" s="27">
        <f>INCENTIVE!$E$8</f>
        <v>130000000</v>
      </c>
      <c r="S202">
        <f>'DL 1'!D203</f>
        <v>0</v>
      </c>
      <c r="T202" t="str">
        <f t="shared" si="32"/>
        <v>1</v>
      </c>
      <c r="V202" t="str">
        <f t="shared" si="33"/>
        <v>1</v>
      </c>
      <c r="W202">
        <f t="shared" si="34"/>
        <v>0.25</v>
      </c>
      <c r="X202" s="7">
        <f>'DL 1'!E203</f>
        <v>0</v>
      </c>
      <c r="Y202" s="69">
        <f>'DL 1'!G203</f>
        <v>0</v>
      </c>
      <c r="AC202" t="str">
        <f>IFERROR(VLOOKUP(Y202,Data!$G$65:$K$79,2,0) *X202,"")</f>
        <v/>
      </c>
      <c r="AD202" s="7">
        <f t="shared" si="35"/>
        <v>0</v>
      </c>
      <c r="AE202">
        <f>'DL 1'!F203</f>
        <v>0</v>
      </c>
      <c r="AF202" t="str">
        <f>IFERROR(VLOOKUP(Y202,Data!$G$65:$K$79,4,0),"")</f>
        <v/>
      </c>
      <c r="AG202" s="51" t="e">
        <f>#REF!</f>
        <v>#REF!</v>
      </c>
      <c r="AK202">
        <f t="shared" si="36"/>
        <v>0</v>
      </c>
      <c r="AL202">
        <f t="shared" si="37"/>
        <v>0</v>
      </c>
      <c r="AM202" s="70">
        <f t="shared" si="38"/>
        <v>0</v>
      </c>
      <c r="AN202" s="7" t="b">
        <f t="shared" si="39"/>
        <v>0</v>
      </c>
    </row>
    <row r="203" spans="1:40" x14ac:dyDescent="0.3">
      <c r="A203" s="50">
        <f>IF(D203="A",_xlfn.IFNA(INDEX(Data!$H$24:$J$28,MATCH('DL 1'!E204,Data!$G$24:$G$28,1),MATCH('DL 1'!D204,Data!$H$23:$J$23,1)),0),0)</f>
        <v>0</v>
      </c>
      <c r="B203">
        <f>IF('DL 1'!F204="Y",Q203,0)</f>
        <v>0</v>
      </c>
      <c r="C203" t="e">
        <f>_xlfn.IFNA(INDEX(Data!$H$24:$J$28,MATCH(#REF!,Data!$G$24:$G$28,1),MATCH(#REF!,Data!$H$23:$J$23,1)),0)</f>
        <v>#REF!</v>
      </c>
      <c r="D203" t="str">
        <f>RIGHT(TRIM('DL 1'!G204),1)</f>
        <v/>
      </c>
      <c r="E203" s="8">
        <f>'DL 1'!E204*'DL 1'!D204</f>
        <v>0</v>
      </c>
      <c r="F203" t="str">
        <f>_xlfn.IFNA(VLOOKUP(TRIM('DL 1'!G204),Data!$A:$C,3,0),"")</f>
        <v/>
      </c>
      <c r="G203" s="7">
        <f>'DL 1'!E204</f>
        <v>0</v>
      </c>
      <c r="H203" s="21">
        <f>_xlfn.IFNA(VLOOKUP(TRIM('DL 1'!G204),Data!$A:$D,4,0),0)</f>
        <v>0</v>
      </c>
      <c r="I203">
        <f>_xlfn.IFNA(INDEX(Data!$G$5:$K$10,MATCH('DL 1'!D204,Data!$F$5:$F$10,1),MATCH(_xlfn.SINGLE(#REF!),Data!$G$4:$K$4,1)),0)</f>
        <v>0</v>
      </c>
      <c r="J203">
        <f>_xlfn.IFNA(IF(VLOOKUP(TRIM('DL 1'!G204),Data!$A:$C,3,0)="ST1",H203*I203*G203,IF(VLOOKUP(TRIM('DL 1'!G204),Data!$A:$C,3,0)="IR0",H203*G203,MIN(H203:I203)*G203)),0)</f>
        <v>0</v>
      </c>
      <c r="K203" t="e">
        <f>_xlfn.IFNA(VLOOKUP(TRIM(#REF!),Data!$A:$D,4,0)*#REF!,0)</f>
        <v>#REF!</v>
      </c>
      <c r="L203">
        <f>IF(TRIM('DL 1'!G204)="EDCLNHT0IRNLI",20000,0)</f>
        <v>0</v>
      </c>
      <c r="M203">
        <f>IF(ISERROR(MATCH('DL 1'!A204,#REF!,0)),0,J203*2)</f>
        <v>0</v>
      </c>
      <c r="N203" t="e">
        <f>#REF!</f>
        <v>#REF!</v>
      </c>
      <c r="O203">
        <f>_xlfn.IFNA(VLOOKUP(RIGHT(VLOOKUP(TRIM('DL 1'!G204),Data!$A:$B,2,0),1),Data!$L$23:$M$30,2,0),0)</f>
        <v>0</v>
      </c>
      <c r="P203">
        <f t="shared" si="40"/>
        <v>0</v>
      </c>
      <c r="Q203" s="7" t="b">
        <f t="shared" si="31"/>
        <v>0</v>
      </c>
      <c r="R203" s="27">
        <f>INCENTIVE!$E$8</f>
        <v>130000000</v>
      </c>
      <c r="S203">
        <f>'DL 1'!D204</f>
        <v>0</v>
      </c>
      <c r="T203" t="str">
        <f t="shared" si="32"/>
        <v>1</v>
      </c>
      <c r="V203" t="str">
        <f t="shared" si="33"/>
        <v>1</v>
      </c>
      <c r="W203">
        <f t="shared" si="34"/>
        <v>0.25</v>
      </c>
      <c r="X203" s="7">
        <f>'DL 1'!E204</f>
        <v>0</v>
      </c>
      <c r="Y203" s="69">
        <f>'DL 1'!G204</f>
        <v>0</v>
      </c>
      <c r="AC203" t="str">
        <f>IFERROR(VLOOKUP(Y203,Data!$G$65:$K$79,2,0) *X203,"")</f>
        <v/>
      </c>
      <c r="AD203" s="7">
        <f t="shared" si="35"/>
        <v>0</v>
      </c>
      <c r="AE203">
        <f>'DL 1'!F204</f>
        <v>0</v>
      </c>
      <c r="AF203" t="str">
        <f>IFERROR(VLOOKUP(Y203,Data!$G$65:$K$79,4,0),"")</f>
        <v/>
      </c>
      <c r="AG203" s="51" t="e">
        <f>#REF!</f>
        <v>#REF!</v>
      </c>
      <c r="AK203">
        <f t="shared" si="36"/>
        <v>0</v>
      </c>
      <c r="AL203">
        <f t="shared" si="37"/>
        <v>0</v>
      </c>
      <c r="AM203" s="70">
        <f t="shared" si="38"/>
        <v>0</v>
      </c>
      <c r="AN203" s="7" t="b">
        <f t="shared" si="39"/>
        <v>0</v>
      </c>
    </row>
    <row r="204" spans="1:40" x14ac:dyDescent="0.3">
      <c r="A204" s="50">
        <f>IF(D204="A",_xlfn.IFNA(INDEX(Data!$H$24:$J$28,MATCH('DL 1'!E205,Data!$G$24:$G$28,1),MATCH('DL 1'!D205,Data!$H$23:$J$23,1)),0),0)</f>
        <v>0</v>
      </c>
      <c r="B204">
        <f>IF('DL 1'!F205="Y",Q204,0)</f>
        <v>0</v>
      </c>
      <c r="C204" t="e">
        <f>_xlfn.IFNA(INDEX(Data!$H$24:$J$28,MATCH(#REF!,Data!$G$24:$G$28,1),MATCH(#REF!,Data!$H$23:$J$23,1)),0)</f>
        <v>#REF!</v>
      </c>
      <c r="D204" t="str">
        <f>RIGHT(TRIM('DL 1'!G205),1)</f>
        <v/>
      </c>
      <c r="E204" s="8">
        <f>'DL 1'!E205*'DL 1'!D205</f>
        <v>0</v>
      </c>
      <c r="F204" t="str">
        <f>_xlfn.IFNA(VLOOKUP(TRIM('DL 1'!G205),Data!$A:$C,3,0),"")</f>
        <v/>
      </c>
      <c r="G204" s="7">
        <f>'DL 1'!E205</f>
        <v>0</v>
      </c>
      <c r="H204" s="21">
        <f>_xlfn.IFNA(VLOOKUP(TRIM('DL 1'!G205),Data!$A:$D,4,0),0)</f>
        <v>0</v>
      </c>
      <c r="I204">
        <f>_xlfn.IFNA(INDEX(Data!$G$5:$K$10,MATCH('DL 1'!D205,Data!$F$5:$F$10,1),MATCH(_xlfn.SINGLE(#REF!),Data!$G$4:$K$4,1)),0)</f>
        <v>0</v>
      </c>
      <c r="J204">
        <f>_xlfn.IFNA(IF(VLOOKUP(TRIM('DL 1'!G205),Data!$A:$C,3,0)="ST1",H204*I204*G204,IF(VLOOKUP(TRIM('DL 1'!G205),Data!$A:$C,3,0)="IR0",H204*G204,MIN(H204:I204)*G204)),0)</f>
        <v>0</v>
      </c>
      <c r="K204" t="e">
        <f>_xlfn.IFNA(VLOOKUP(TRIM(#REF!),Data!$A:$D,4,0)*#REF!,0)</f>
        <v>#REF!</v>
      </c>
      <c r="L204">
        <f>IF(TRIM('DL 1'!G205)="EDCLNHT0IRNLI",20000,0)</f>
        <v>0</v>
      </c>
      <c r="M204">
        <f>IF(ISERROR(MATCH('DL 1'!A205,#REF!,0)),0,J204*2)</f>
        <v>0</v>
      </c>
      <c r="N204" t="e">
        <f>#REF!</f>
        <v>#REF!</v>
      </c>
      <c r="O204">
        <f>_xlfn.IFNA(VLOOKUP(RIGHT(VLOOKUP(TRIM('DL 1'!G205),Data!$A:$B,2,0),1),Data!$L$23:$M$30,2,0),0)</f>
        <v>0</v>
      </c>
      <c r="P204">
        <f t="shared" si="40"/>
        <v>0</v>
      </c>
      <c r="Q204" s="7" t="b">
        <f t="shared" si="31"/>
        <v>0</v>
      </c>
      <c r="R204" s="27">
        <f>INCENTIVE!$E$8</f>
        <v>130000000</v>
      </c>
      <c r="S204">
        <f>'DL 1'!D205</f>
        <v>0</v>
      </c>
      <c r="T204" t="str">
        <f t="shared" si="32"/>
        <v>1</v>
      </c>
      <c r="V204" t="str">
        <f t="shared" si="33"/>
        <v>1</v>
      </c>
      <c r="W204">
        <f t="shared" si="34"/>
        <v>0.25</v>
      </c>
      <c r="X204" s="7">
        <f>'DL 1'!E205</f>
        <v>0</v>
      </c>
      <c r="Y204" s="69">
        <f>'DL 1'!G205</f>
        <v>0</v>
      </c>
      <c r="AC204" t="str">
        <f>IFERROR(VLOOKUP(Y204,Data!$G$65:$K$79,2,0) *X204,"")</f>
        <v/>
      </c>
      <c r="AD204" s="7">
        <f t="shared" si="35"/>
        <v>0</v>
      </c>
      <c r="AE204">
        <f>'DL 1'!F205</f>
        <v>0</v>
      </c>
      <c r="AF204" t="str">
        <f>IFERROR(VLOOKUP(Y204,Data!$G$65:$K$79,4,0),"")</f>
        <v/>
      </c>
      <c r="AG204" s="51" t="e">
        <f>#REF!</f>
        <v>#REF!</v>
      </c>
      <c r="AK204">
        <f t="shared" si="36"/>
        <v>0</v>
      </c>
      <c r="AL204">
        <f t="shared" si="37"/>
        <v>0</v>
      </c>
      <c r="AM204" s="70">
        <f t="shared" si="38"/>
        <v>0</v>
      </c>
      <c r="AN204" s="7" t="b">
        <f t="shared" si="39"/>
        <v>0</v>
      </c>
    </row>
    <row r="205" spans="1:40" x14ac:dyDescent="0.3">
      <c r="A205" s="50">
        <f>IF(D205="A",_xlfn.IFNA(INDEX(Data!$H$24:$J$28,MATCH('DL 1'!E206,Data!$G$24:$G$28,1),MATCH('DL 1'!D206,Data!$H$23:$J$23,1)),0),0)</f>
        <v>0</v>
      </c>
      <c r="B205">
        <f>IF('DL 1'!F206="Y",Q205,0)</f>
        <v>0</v>
      </c>
      <c r="C205" t="e">
        <f>_xlfn.IFNA(INDEX(Data!$H$24:$J$28,MATCH(#REF!,Data!$G$24:$G$28,1),MATCH(#REF!,Data!$H$23:$J$23,1)),0)</f>
        <v>#REF!</v>
      </c>
      <c r="D205" t="str">
        <f>RIGHT(TRIM('DL 1'!G206),1)</f>
        <v/>
      </c>
      <c r="E205" s="8">
        <f>'DL 1'!E206*'DL 1'!D206</f>
        <v>0</v>
      </c>
      <c r="F205" t="str">
        <f>_xlfn.IFNA(VLOOKUP(TRIM('DL 1'!G206),Data!$A:$C,3,0),"")</f>
        <v/>
      </c>
      <c r="G205" s="7">
        <f>'DL 1'!E206</f>
        <v>0</v>
      </c>
      <c r="H205" s="21">
        <f>_xlfn.IFNA(VLOOKUP(TRIM('DL 1'!G206),Data!$A:$D,4,0),0)</f>
        <v>0</v>
      </c>
      <c r="I205">
        <f>_xlfn.IFNA(INDEX(Data!$G$5:$K$10,MATCH('DL 1'!D206,Data!$F$5:$F$10,1),MATCH(_xlfn.SINGLE(#REF!),Data!$G$4:$K$4,1)),0)</f>
        <v>0</v>
      </c>
      <c r="J205">
        <f>_xlfn.IFNA(IF(VLOOKUP(TRIM('DL 1'!G206),Data!$A:$C,3,0)="ST1",H205*I205*G205,IF(VLOOKUP(TRIM('DL 1'!G206),Data!$A:$C,3,0)="IR0",H205*G205,MIN(H205:I205)*G205)),0)</f>
        <v>0</v>
      </c>
      <c r="K205" t="e">
        <f>_xlfn.IFNA(VLOOKUP(TRIM(#REF!),Data!$A:$D,4,0)*#REF!,0)</f>
        <v>#REF!</v>
      </c>
      <c r="L205">
        <f>IF(TRIM('DL 1'!G206)="EDCLNHT0IRNLI",20000,0)</f>
        <v>0</v>
      </c>
      <c r="M205">
        <f>IF(ISERROR(MATCH('DL 1'!A206,#REF!,0)),0,J205*2)</f>
        <v>0</v>
      </c>
      <c r="N205" t="e">
        <f>#REF!</f>
        <v>#REF!</v>
      </c>
      <c r="O205">
        <f>_xlfn.IFNA(VLOOKUP(RIGHT(VLOOKUP(TRIM('DL 1'!G206),Data!$A:$B,2,0),1),Data!$L$23:$M$30,2,0),0)</f>
        <v>0</v>
      </c>
      <c r="P205">
        <f t="shared" si="40"/>
        <v>0</v>
      </c>
      <c r="Q205" s="7" t="b">
        <f t="shared" si="31"/>
        <v>0</v>
      </c>
      <c r="R205" s="27">
        <f>INCENTIVE!$E$8</f>
        <v>130000000</v>
      </c>
      <c r="S205">
        <f>'DL 1'!D206</f>
        <v>0</v>
      </c>
      <c r="T205" t="str">
        <f t="shared" si="32"/>
        <v>1</v>
      </c>
      <c r="V205" t="str">
        <f t="shared" si="33"/>
        <v>1</v>
      </c>
      <c r="W205">
        <f t="shared" si="34"/>
        <v>0.25</v>
      </c>
      <c r="X205" s="7">
        <f>'DL 1'!E206</f>
        <v>0</v>
      </c>
      <c r="Y205" s="69">
        <f>'DL 1'!G206</f>
        <v>0</v>
      </c>
      <c r="AC205" t="str">
        <f>IFERROR(VLOOKUP(Y205,Data!$G$65:$K$79,2,0) *X205,"")</f>
        <v/>
      </c>
      <c r="AD205" s="7">
        <f t="shared" si="35"/>
        <v>0</v>
      </c>
      <c r="AE205">
        <f>'DL 1'!F206</f>
        <v>0</v>
      </c>
      <c r="AF205" t="str">
        <f>IFERROR(VLOOKUP(Y205,Data!$G$65:$K$79,4,0),"")</f>
        <v/>
      </c>
      <c r="AG205" s="51" t="e">
        <f>#REF!</f>
        <v>#REF!</v>
      </c>
      <c r="AK205">
        <f t="shared" si="36"/>
        <v>0</v>
      </c>
      <c r="AL205">
        <f t="shared" si="37"/>
        <v>0</v>
      </c>
      <c r="AM205" s="70">
        <f t="shared" si="38"/>
        <v>0</v>
      </c>
      <c r="AN205" s="7" t="b">
        <f t="shared" si="39"/>
        <v>0</v>
      </c>
    </row>
    <row r="206" spans="1:40" x14ac:dyDescent="0.3">
      <c r="A206" s="50">
        <f>IF(D206="A",_xlfn.IFNA(INDEX(Data!$H$24:$J$28,MATCH('DL 1'!E207,Data!$G$24:$G$28,1),MATCH('DL 1'!D207,Data!$H$23:$J$23,1)),0),0)</f>
        <v>0</v>
      </c>
      <c r="B206">
        <f>IF('DL 1'!F207="Y",Q206,0)</f>
        <v>0</v>
      </c>
      <c r="C206" t="e">
        <f>_xlfn.IFNA(INDEX(Data!$H$24:$J$28,MATCH(#REF!,Data!$G$24:$G$28,1),MATCH(#REF!,Data!$H$23:$J$23,1)),0)</f>
        <v>#REF!</v>
      </c>
      <c r="D206" t="str">
        <f>RIGHT(TRIM('DL 1'!G207),1)</f>
        <v/>
      </c>
      <c r="E206" s="8">
        <f>'DL 1'!E207*'DL 1'!D207</f>
        <v>0</v>
      </c>
      <c r="F206" t="str">
        <f>_xlfn.IFNA(VLOOKUP(TRIM('DL 1'!G207),Data!$A:$C,3,0),"")</f>
        <v/>
      </c>
      <c r="G206" s="7">
        <f>'DL 1'!E207</f>
        <v>0</v>
      </c>
      <c r="H206" s="21">
        <f>_xlfn.IFNA(VLOOKUP(TRIM('DL 1'!G207),Data!$A:$D,4,0),0)</f>
        <v>0</v>
      </c>
      <c r="I206">
        <f>_xlfn.IFNA(INDEX(Data!$G$5:$K$10,MATCH('DL 1'!D207,Data!$F$5:$F$10,1),MATCH(_xlfn.SINGLE(#REF!),Data!$G$4:$K$4,1)),0)</f>
        <v>0</v>
      </c>
      <c r="J206">
        <f>_xlfn.IFNA(IF(VLOOKUP(TRIM('DL 1'!G207),Data!$A:$C,3,0)="ST1",H206*I206*G206,IF(VLOOKUP(TRIM('DL 1'!G207),Data!$A:$C,3,0)="IR0",H206*G206,MIN(H206:I206)*G206)),0)</f>
        <v>0</v>
      </c>
      <c r="K206" t="e">
        <f>_xlfn.IFNA(VLOOKUP(TRIM(#REF!),Data!$A:$D,4,0)*#REF!,0)</f>
        <v>#REF!</v>
      </c>
      <c r="L206">
        <f>IF(TRIM('DL 1'!G207)="EDCLNHT0IRNLI",20000,0)</f>
        <v>0</v>
      </c>
      <c r="M206">
        <f>IF(ISERROR(MATCH('DL 1'!A207,#REF!,0)),0,J206*2)</f>
        <v>0</v>
      </c>
      <c r="N206" t="e">
        <f>#REF!</f>
        <v>#REF!</v>
      </c>
      <c r="O206">
        <f>_xlfn.IFNA(VLOOKUP(RIGHT(VLOOKUP(TRIM('DL 1'!G207),Data!$A:$B,2,0),1),Data!$L$23:$M$30,2,0),0)</f>
        <v>0</v>
      </c>
      <c r="P206">
        <f t="shared" si="40"/>
        <v>0</v>
      </c>
      <c r="Q206" s="7" t="b">
        <f t="shared" si="31"/>
        <v>0</v>
      </c>
      <c r="R206" s="27">
        <f>INCENTIVE!$E$8</f>
        <v>130000000</v>
      </c>
      <c r="S206">
        <f>'DL 1'!D207</f>
        <v>0</v>
      </c>
      <c r="T206" t="str">
        <f t="shared" si="32"/>
        <v>1</v>
      </c>
      <c r="V206" t="str">
        <f t="shared" si="33"/>
        <v>1</v>
      </c>
      <c r="W206">
        <f t="shared" si="34"/>
        <v>0.25</v>
      </c>
      <c r="X206" s="7">
        <f>'DL 1'!E207</f>
        <v>0</v>
      </c>
      <c r="Y206" s="69">
        <f>'DL 1'!G207</f>
        <v>0</v>
      </c>
      <c r="AC206" t="str">
        <f>IFERROR(VLOOKUP(Y206,Data!$G$65:$K$79,2,0) *X206,"")</f>
        <v/>
      </c>
      <c r="AD206" s="7">
        <f t="shared" si="35"/>
        <v>0</v>
      </c>
      <c r="AE206">
        <f>'DL 1'!F207</f>
        <v>0</v>
      </c>
      <c r="AF206" t="str">
        <f>IFERROR(VLOOKUP(Y206,Data!$G$65:$K$79,4,0),"")</f>
        <v/>
      </c>
      <c r="AG206" s="51" t="e">
        <f>#REF!</f>
        <v>#REF!</v>
      </c>
      <c r="AK206">
        <f t="shared" si="36"/>
        <v>0</v>
      </c>
      <c r="AL206">
        <f t="shared" si="37"/>
        <v>0</v>
      </c>
      <c r="AM206" s="70">
        <f t="shared" si="38"/>
        <v>0</v>
      </c>
      <c r="AN206" s="7" t="b">
        <f t="shared" si="39"/>
        <v>0</v>
      </c>
    </row>
    <row r="207" spans="1:40" x14ac:dyDescent="0.3">
      <c r="A207" s="50">
        <f>IF(D207="A",_xlfn.IFNA(INDEX(Data!$H$24:$J$28,MATCH('DL 1'!E208,Data!$G$24:$G$28,1),MATCH('DL 1'!D208,Data!$H$23:$J$23,1)),0),0)</f>
        <v>0</v>
      </c>
      <c r="B207">
        <f>IF('DL 1'!F208="Y",Q207,0)</f>
        <v>0</v>
      </c>
      <c r="C207" t="e">
        <f>_xlfn.IFNA(INDEX(Data!$H$24:$J$28,MATCH(#REF!,Data!$G$24:$G$28,1),MATCH(#REF!,Data!$H$23:$J$23,1)),0)</f>
        <v>#REF!</v>
      </c>
      <c r="D207" t="str">
        <f>RIGHT(TRIM('DL 1'!G208),1)</f>
        <v/>
      </c>
      <c r="E207" s="8">
        <f>'DL 1'!E208*'DL 1'!D208</f>
        <v>0</v>
      </c>
      <c r="F207" t="str">
        <f>_xlfn.IFNA(VLOOKUP(TRIM('DL 1'!G208),Data!$A:$C,3,0),"")</f>
        <v/>
      </c>
      <c r="G207" s="7">
        <f>'DL 1'!E208</f>
        <v>0</v>
      </c>
      <c r="H207" s="21">
        <f>_xlfn.IFNA(VLOOKUP(TRIM('DL 1'!G208),Data!$A:$D,4,0),0)</f>
        <v>0</v>
      </c>
      <c r="I207">
        <f>_xlfn.IFNA(INDEX(Data!$G$5:$K$10,MATCH('DL 1'!D208,Data!$F$5:$F$10,1),MATCH(_xlfn.SINGLE(#REF!),Data!$G$4:$K$4,1)),0)</f>
        <v>0</v>
      </c>
      <c r="J207">
        <f>_xlfn.IFNA(IF(VLOOKUP(TRIM('DL 1'!G208),Data!$A:$C,3,0)="ST1",H207*I207*G207,IF(VLOOKUP(TRIM('DL 1'!G208),Data!$A:$C,3,0)="IR0",H207*G207,MIN(H207:I207)*G207)),0)</f>
        <v>0</v>
      </c>
      <c r="K207" t="e">
        <f>_xlfn.IFNA(VLOOKUP(TRIM(#REF!),Data!$A:$D,4,0)*#REF!,0)</f>
        <v>#REF!</v>
      </c>
      <c r="L207">
        <f>IF(TRIM('DL 1'!G208)="EDCLNHT0IRNLI",20000,0)</f>
        <v>0</v>
      </c>
      <c r="M207">
        <f>IF(ISERROR(MATCH('DL 1'!A208,#REF!,0)),0,J207*2)</f>
        <v>0</v>
      </c>
      <c r="N207" t="e">
        <f>#REF!</f>
        <v>#REF!</v>
      </c>
      <c r="O207">
        <f>_xlfn.IFNA(VLOOKUP(RIGHT(VLOOKUP(TRIM('DL 1'!G208),Data!$A:$B,2,0),1),Data!$L$23:$M$30,2,0),0)</f>
        <v>0</v>
      </c>
      <c r="P207">
        <f t="shared" si="40"/>
        <v>0</v>
      </c>
      <c r="Q207" s="7" t="b">
        <f t="shared" si="31"/>
        <v>0</v>
      </c>
      <c r="R207" s="27">
        <f>INCENTIVE!$E$8</f>
        <v>130000000</v>
      </c>
      <c r="S207">
        <f>'DL 1'!D208</f>
        <v>0</v>
      </c>
      <c r="T207" t="str">
        <f t="shared" si="32"/>
        <v>1</v>
      </c>
      <c r="V207" t="str">
        <f t="shared" si="33"/>
        <v>1</v>
      </c>
      <c r="W207">
        <f t="shared" si="34"/>
        <v>0.25</v>
      </c>
      <c r="X207" s="7">
        <f>'DL 1'!E208</f>
        <v>0</v>
      </c>
      <c r="Y207" s="69">
        <f>'DL 1'!G208</f>
        <v>0</v>
      </c>
      <c r="AC207" t="str">
        <f>IFERROR(VLOOKUP(Y207,Data!$G$65:$K$79,2,0) *X207,"")</f>
        <v/>
      </c>
      <c r="AD207" s="7">
        <f t="shared" si="35"/>
        <v>0</v>
      </c>
      <c r="AE207">
        <f>'DL 1'!F208</f>
        <v>0</v>
      </c>
      <c r="AF207" t="str">
        <f>IFERROR(VLOOKUP(Y207,Data!$G$65:$K$79,4,0),"")</f>
        <v/>
      </c>
      <c r="AG207" s="51" t="e">
        <f>#REF!</f>
        <v>#REF!</v>
      </c>
      <c r="AK207">
        <f t="shared" si="36"/>
        <v>0</v>
      </c>
      <c r="AL207">
        <f t="shared" si="37"/>
        <v>0</v>
      </c>
      <c r="AM207" s="70">
        <f t="shared" si="38"/>
        <v>0</v>
      </c>
      <c r="AN207" s="7" t="b">
        <f t="shared" si="39"/>
        <v>0</v>
      </c>
    </row>
    <row r="208" spans="1:40" x14ac:dyDescent="0.3">
      <c r="A208" s="50">
        <f>IF(D208="A",_xlfn.IFNA(INDEX(Data!$H$24:$J$28,MATCH('DL 1'!E209,Data!$G$24:$G$28,1),MATCH('DL 1'!D209,Data!$H$23:$J$23,1)),0),0)</f>
        <v>0</v>
      </c>
      <c r="B208">
        <f>IF('DL 1'!F209="Y",Q208,0)</f>
        <v>0</v>
      </c>
      <c r="C208" t="e">
        <f>_xlfn.IFNA(INDEX(Data!$H$24:$J$28,MATCH(#REF!,Data!$G$24:$G$28,1),MATCH(#REF!,Data!$H$23:$J$23,1)),0)</f>
        <v>#REF!</v>
      </c>
      <c r="D208" t="str">
        <f>RIGHT(TRIM('DL 1'!G209),1)</f>
        <v/>
      </c>
      <c r="E208" s="8">
        <f>'DL 1'!E209*'DL 1'!D209</f>
        <v>0</v>
      </c>
      <c r="F208" t="str">
        <f>_xlfn.IFNA(VLOOKUP(TRIM('DL 1'!G209),Data!$A:$C,3,0),"")</f>
        <v/>
      </c>
      <c r="G208" s="7">
        <f>'DL 1'!E209</f>
        <v>0</v>
      </c>
      <c r="H208" s="21">
        <f>_xlfn.IFNA(VLOOKUP(TRIM('DL 1'!G209),Data!$A:$D,4,0),0)</f>
        <v>0</v>
      </c>
      <c r="I208">
        <f>_xlfn.IFNA(INDEX(Data!$G$5:$K$10,MATCH('DL 1'!D209,Data!$F$5:$F$10,1),MATCH(_xlfn.SINGLE(#REF!),Data!$G$4:$K$4,1)),0)</f>
        <v>0</v>
      </c>
      <c r="J208">
        <f>_xlfn.IFNA(IF(VLOOKUP(TRIM('DL 1'!G209),Data!$A:$C,3,0)="ST1",H208*I208*G208,IF(VLOOKUP(TRIM('DL 1'!G209),Data!$A:$C,3,0)="IR0",H208*G208,MIN(H208:I208)*G208)),0)</f>
        <v>0</v>
      </c>
      <c r="K208" t="e">
        <f>_xlfn.IFNA(VLOOKUP(TRIM(#REF!),Data!$A:$D,4,0)*#REF!,0)</f>
        <v>#REF!</v>
      </c>
      <c r="L208">
        <f>IF(TRIM('DL 1'!G209)="EDCLNHT0IRNLI",20000,0)</f>
        <v>0</v>
      </c>
      <c r="M208">
        <f>IF(ISERROR(MATCH('DL 1'!A209,#REF!,0)),0,J208*2)</f>
        <v>0</v>
      </c>
      <c r="N208" t="e">
        <f>#REF!</f>
        <v>#REF!</v>
      </c>
      <c r="O208">
        <f>_xlfn.IFNA(VLOOKUP(RIGHT(VLOOKUP(TRIM('DL 1'!G209),Data!$A:$B,2,0),1),Data!$L$23:$M$30,2,0),0)</f>
        <v>0</v>
      </c>
      <c r="P208">
        <f t="shared" si="40"/>
        <v>0</v>
      </c>
      <c r="Q208" s="7" t="b">
        <f t="shared" si="31"/>
        <v>0</v>
      </c>
      <c r="R208" s="27">
        <f>INCENTIVE!$E$8</f>
        <v>130000000</v>
      </c>
      <c r="S208">
        <f>'DL 1'!D209</f>
        <v>0</v>
      </c>
      <c r="T208" t="str">
        <f t="shared" si="32"/>
        <v>1</v>
      </c>
      <c r="V208" t="str">
        <f t="shared" si="33"/>
        <v>1</v>
      </c>
      <c r="W208">
        <f t="shared" si="34"/>
        <v>0.25</v>
      </c>
      <c r="X208" s="7">
        <f>'DL 1'!E209</f>
        <v>0</v>
      </c>
      <c r="Y208" s="69">
        <f>'DL 1'!G209</f>
        <v>0</v>
      </c>
      <c r="AC208" t="str">
        <f>IFERROR(VLOOKUP(Y208,Data!$G$65:$K$79,2,0) *X208,"")</f>
        <v/>
      </c>
      <c r="AD208" s="7">
        <f t="shared" si="35"/>
        <v>0</v>
      </c>
      <c r="AE208">
        <f>'DL 1'!F209</f>
        <v>0</v>
      </c>
      <c r="AF208" t="str">
        <f>IFERROR(VLOOKUP(Y208,Data!$G$65:$K$79,4,0),"")</f>
        <v/>
      </c>
      <c r="AG208" s="51" t="e">
        <f>#REF!</f>
        <v>#REF!</v>
      </c>
      <c r="AK208">
        <f t="shared" si="36"/>
        <v>0</v>
      </c>
      <c r="AL208">
        <f t="shared" si="37"/>
        <v>0</v>
      </c>
      <c r="AM208" s="70">
        <f t="shared" si="38"/>
        <v>0</v>
      </c>
      <c r="AN208" s="7" t="b">
        <f t="shared" si="39"/>
        <v>0</v>
      </c>
    </row>
    <row r="209" spans="1:40" x14ac:dyDescent="0.3">
      <c r="A209" s="50">
        <f>IF(D209="A",_xlfn.IFNA(INDEX(Data!$H$24:$J$28,MATCH('DL 1'!E210,Data!$G$24:$G$28,1),MATCH('DL 1'!D210,Data!$H$23:$J$23,1)),0),0)</f>
        <v>0</v>
      </c>
      <c r="B209">
        <f>IF('DL 1'!F210="Y",Q209,0)</f>
        <v>0</v>
      </c>
      <c r="C209" t="e">
        <f>_xlfn.IFNA(INDEX(Data!$H$24:$J$28,MATCH(#REF!,Data!$G$24:$G$28,1),MATCH(#REF!,Data!$H$23:$J$23,1)),0)</f>
        <v>#REF!</v>
      </c>
      <c r="D209" t="str">
        <f>RIGHT(TRIM('DL 1'!G210),1)</f>
        <v/>
      </c>
      <c r="E209" s="8">
        <f>'DL 1'!E210*'DL 1'!D210</f>
        <v>0</v>
      </c>
      <c r="F209" t="str">
        <f>_xlfn.IFNA(VLOOKUP(TRIM('DL 1'!G210),Data!$A:$C,3,0),"")</f>
        <v/>
      </c>
      <c r="G209" s="7">
        <f>'DL 1'!E210</f>
        <v>0</v>
      </c>
      <c r="H209" s="21">
        <f>_xlfn.IFNA(VLOOKUP(TRIM('DL 1'!G210),Data!$A:$D,4,0),0)</f>
        <v>0</v>
      </c>
      <c r="I209">
        <f>_xlfn.IFNA(INDEX(Data!$G$5:$K$10,MATCH('DL 1'!D210,Data!$F$5:$F$10,1),MATCH(_xlfn.SINGLE(#REF!),Data!$G$4:$K$4,1)),0)</f>
        <v>0</v>
      </c>
      <c r="J209">
        <f>_xlfn.IFNA(IF(VLOOKUP(TRIM('DL 1'!G210),Data!$A:$C,3,0)="ST1",H209*I209*G209,IF(VLOOKUP(TRIM('DL 1'!G210),Data!$A:$C,3,0)="IR0",H209*G209,MIN(H209:I209)*G209)),0)</f>
        <v>0</v>
      </c>
      <c r="K209" t="e">
        <f>_xlfn.IFNA(VLOOKUP(TRIM(#REF!),Data!$A:$D,4,0)*#REF!,0)</f>
        <v>#REF!</v>
      </c>
      <c r="L209">
        <f>IF(TRIM('DL 1'!G210)="EDCLNHT0IRNLI",20000,0)</f>
        <v>0</v>
      </c>
      <c r="M209">
        <f>IF(ISERROR(MATCH('DL 1'!A210,#REF!,0)),0,J209*2)</f>
        <v>0</v>
      </c>
      <c r="N209" t="e">
        <f>#REF!</f>
        <v>#REF!</v>
      </c>
      <c r="O209">
        <f>_xlfn.IFNA(VLOOKUP(RIGHT(VLOOKUP(TRIM('DL 1'!G210),Data!$A:$B,2,0),1),Data!$L$23:$M$30,2,0),0)</f>
        <v>0</v>
      </c>
      <c r="P209">
        <f t="shared" si="40"/>
        <v>0</v>
      </c>
      <c r="Q209" s="7" t="b">
        <f t="shared" si="31"/>
        <v>0</v>
      </c>
      <c r="R209" s="27">
        <f>INCENTIVE!$E$8</f>
        <v>130000000</v>
      </c>
      <c r="S209">
        <f>'DL 1'!D210</f>
        <v>0</v>
      </c>
      <c r="T209" t="str">
        <f t="shared" si="32"/>
        <v>1</v>
      </c>
      <c r="V209" t="str">
        <f t="shared" si="33"/>
        <v>1</v>
      </c>
      <c r="W209">
        <f t="shared" si="34"/>
        <v>0.25</v>
      </c>
      <c r="X209" s="7">
        <f>'DL 1'!E210</f>
        <v>0</v>
      </c>
      <c r="Y209" s="69">
        <f>'DL 1'!G210</f>
        <v>0</v>
      </c>
      <c r="AC209" t="str">
        <f>IFERROR(VLOOKUP(Y209,Data!$G$65:$K$79,2,0) *X209,"")</f>
        <v/>
      </c>
      <c r="AD209" s="7">
        <f t="shared" si="35"/>
        <v>0</v>
      </c>
      <c r="AE209">
        <f>'DL 1'!F210</f>
        <v>0</v>
      </c>
      <c r="AF209" t="str">
        <f>IFERROR(VLOOKUP(Y209,Data!$G$65:$K$79,4,0),"")</f>
        <v/>
      </c>
      <c r="AG209" s="51" t="e">
        <f>#REF!</f>
        <v>#REF!</v>
      </c>
      <c r="AK209">
        <f t="shared" si="36"/>
        <v>0</v>
      </c>
      <c r="AL209">
        <f t="shared" si="37"/>
        <v>0</v>
      </c>
      <c r="AM209" s="70">
        <f t="shared" si="38"/>
        <v>0</v>
      </c>
      <c r="AN209" s="7" t="b">
        <f t="shared" si="39"/>
        <v>0</v>
      </c>
    </row>
    <row r="210" spans="1:40" x14ac:dyDescent="0.3">
      <c r="A210" s="50">
        <f>IF(D210="A",_xlfn.IFNA(INDEX(Data!$H$24:$J$28,MATCH('DL 1'!E211,Data!$G$24:$G$28,1),MATCH('DL 1'!D211,Data!$H$23:$J$23,1)),0),0)</f>
        <v>0</v>
      </c>
      <c r="B210">
        <f>IF('DL 1'!F211="Y",Q210,0)</f>
        <v>0</v>
      </c>
      <c r="C210" t="e">
        <f>_xlfn.IFNA(INDEX(Data!$H$24:$J$28,MATCH(#REF!,Data!$G$24:$G$28,1),MATCH(#REF!,Data!$H$23:$J$23,1)),0)</f>
        <v>#REF!</v>
      </c>
      <c r="D210" t="str">
        <f>RIGHT(TRIM('DL 1'!G211),1)</f>
        <v/>
      </c>
      <c r="E210" s="8">
        <f>'DL 1'!E211*'DL 1'!D211</f>
        <v>0</v>
      </c>
      <c r="F210" t="str">
        <f>_xlfn.IFNA(VLOOKUP(TRIM('DL 1'!G211),Data!$A:$C,3,0),"")</f>
        <v/>
      </c>
      <c r="G210" s="7">
        <f>'DL 1'!E211</f>
        <v>0</v>
      </c>
      <c r="H210" s="21">
        <f>_xlfn.IFNA(VLOOKUP(TRIM('DL 1'!G211),Data!$A:$D,4,0),0)</f>
        <v>0</v>
      </c>
      <c r="I210">
        <f>_xlfn.IFNA(INDEX(Data!$G$5:$K$10,MATCH('DL 1'!D211,Data!$F$5:$F$10,1),MATCH(_xlfn.SINGLE(#REF!),Data!$G$4:$K$4,1)),0)</f>
        <v>0</v>
      </c>
      <c r="J210">
        <f>_xlfn.IFNA(IF(VLOOKUP(TRIM('DL 1'!G211),Data!$A:$C,3,0)="ST1",H210*I210*G210,IF(VLOOKUP(TRIM('DL 1'!G211),Data!$A:$C,3,0)="IR0",H210*G210,MIN(H210:I210)*G210)),0)</f>
        <v>0</v>
      </c>
      <c r="K210" t="e">
        <f>_xlfn.IFNA(VLOOKUP(TRIM(#REF!),Data!$A:$D,4,0)*#REF!,0)</f>
        <v>#REF!</v>
      </c>
      <c r="L210">
        <f>IF(TRIM('DL 1'!G211)="EDCLNHT0IRNLI",20000,0)</f>
        <v>0</v>
      </c>
      <c r="M210">
        <f>IF(ISERROR(MATCH('DL 1'!A211,#REF!,0)),0,J210*2)</f>
        <v>0</v>
      </c>
      <c r="N210" t="e">
        <f>#REF!</f>
        <v>#REF!</v>
      </c>
      <c r="O210">
        <f>_xlfn.IFNA(VLOOKUP(RIGHT(VLOOKUP(TRIM('DL 1'!G211),Data!$A:$B,2,0),1),Data!$L$23:$M$30,2,0),0)</f>
        <v>0</v>
      </c>
      <c r="P210">
        <f t="shared" si="40"/>
        <v>0</v>
      </c>
      <c r="Q210" s="7" t="b">
        <f t="shared" si="31"/>
        <v>0</v>
      </c>
      <c r="R210" s="27">
        <f>INCENTIVE!$E$8</f>
        <v>130000000</v>
      </c>
      <c r="S210">
        <f>'DL 1'!D211</f>
        <v>0</v>
      </c>
      <c r="T210" t="str">
        <f t="shared" si="32"/>
        <v>1</v>
      </c>
      <c r="V210" t="str">
        <f t="shared" si="33"/>
        <v>1</v>
      </c>
      <c r="W210">
        <f t="shared" si="34"/>
        <v>0.25</v>
      </c>
      <c r="X210" s="7">
        <f>'DL 1'!E211</f>
        <v>0</v>
      </c>
      <c r="Y210" s="69">
        <f>'DL 1'!G211</f>
        <v>0</v>
      </c>
      <c r="AC210" t="str">
        <f>IFERROR(VLOOKUP(Y210,Data!$G$65:$K$79,2,0) *X210,"")</f>
        <v/>
      </c>
      <c r="AD210" s="7">
        <f t="shared" si="35"/>
        <v>0</v>
      </c>
      <c r="AE210">
        <f>'DL 1'!F211</f>
        <v>0</v>
      </c>
      <c r="AF210" t="str">
        <f>IFERROR(VLOOKUP(Y210,Data!$G$65:$K$79,4,0),"")</f>
        <v/>
      </c>
      <c r="AG210" s="51" t="e">
        <f>#REF!</f>
        <v>#REF!</v>
      </c>
      <c r="AK210">
        <f t="shared" si="36"/>
        <v>0</v>
      </c>
      <c r="AL210">
        <f t="shared" si="37"/>
        <v>0</v>
      </c>
      <c r="AM210" s="70">
        <f t="shared" si="38"/>
        <v>0</v>
      </c>
      <c r="AN210" s="7" t="b">
        <f t="shared" si="39"/>
        <v>0</v>
      </c>
    </row>
    <row r="211" spans="1:40" x14ac:dyDescent="0.3">
      <c r="A211" s="50">
        <f>IF(D211="A",_xlfn.IFNA(INDEX(Data!$H$24:$J$28,MATCH('DL 1'!E212,Data!$G$24:$G$28,1),MATCH('DL 1'!D212,Data!$H$23:$J$23,1)),0),0)</f>
        <v>0</v>
      </c>
      <c r="B211">
        <f>IF('DL 1'!F212="Y",Q211,0)</f>
        <v>0</v>
      </c>
      <c r="C211" t="e">
        <f>_xlfn.IFNA(INDEX(Data!$H$24:$J$28,MATCH(#REF!,Data!$G$24:$G$28,1),MATCH(#REF!,Data!$H$23:$J$23,1)),0)</f>
        <v>#REF!</v>
      </c>
      <c r="D211" t="str">
        <f>RIGHT(TRIM('DL 1'!G212),1)</f>
        <v/>
      </c>
      <c r="E211" s="8">
        <f>'DL 1'!E212*'DL 1'!D212</f>
        <v>0</v>
      </c>
      <c r="F211" t="str">
        <f>_xlfn.IFNA(VLOOKUP(TRIM('DL 1'!G212),Data!$A:$C,3,0),"")</f>
        <v/>
      </c>
      <c r="G211" s="7">
        <f>'DL 1'!E212</f>
        <v>0</v>
      </c>
      <c r="H211" s="21">
        <f>_xlfn.IFNA(VLOOKUP(TRIM('DL 1'!G212),Data!$A:$D,4,0),0)</f>
        <v>0</v>
      </c>
      <c r="I211">
        <f>_xlfn.IFNA(INDEX(Data!$G$5:$K$10,MATCH('DL 1'!D212,Data!$F$5:$F$10,1),MATCH(_xlfn.SINGLE(#REF!),Data!$G$4:$K$4,1)),0)</f>
        <v>0</v>
      </c>
      <c r="J211">
        <f>_xlfn.IFNA(IF(VLOOKUP(TRIM('DL 1'!G212),Data!$A:$C,3,0)="ST1",H211*I211*G211,IF(VLOOKUP(TRIM('DL 1'!G212),Data!$A:$C,3,0)="IR0",H211*G211,MIN(H211:I211)*G211)),0)</f>
        <v>0</v>
      </c>
      <c r="K211" t="e">
        <f>_xlfn.IFNA(VLOOKUP(TRIM(#REF!),Data!$A:$D,4,0)*#REF!,0)</f>
        <v>#REF!</v>
      </c>
      <c r="L211">
        <f>IF(TRIM('DL 1'!G212)="EDCLNHT0IRNLI",20000,0)</f>
        <v>0</v>
      </c>
      <c r="M211">
        <f>IF(ISERROR(MATCH('DL 1'!A212,#REF!,0)),0,J211*2)</f>
        <v>0</v>
      </c>
      <c r="N211" t="e">
        <f>#REF!</f>
        <v>#REF!</v>
      </c>
      <c r="O211">
        <f>_xlfn.IFNA(VLOOKUP(RIGHT(VLOOKUP(TRIM('DL 1'!G212),Data!$A:$B,2,0),1),Data!$L$23:$M$30,2,0),0)</f>
        <v>0</v>
      </c>
      <c r="P211">
        <f t="shared" si="40"/>
        <v>0</v>
      </c>
      <c r="Q211" s="7" t="b">
        <f t="shared" si="31"/>
        <v>0</v>
      </c>
      <c r="R211" s="27">
        <f>INCENTIVE!$E$8</f>
        <v>130000000</v>
      </c>
      <c r="S211">
        <f>'DL 1'!D212</f>
        <v>0</v>
      </c>
      <c r="T211" t="str">
        <f t="shared" si="32"/>
        <v>1</v>
      </c>
      <c r="V211" t="str">
        <f t="shared" si="33"/>
        <v>1</v>
      </c>
      <c r="W211">
        <f t="shared" si="34"/>
        <v>0.25</v>
      </c>
      <c r="X211" s="7">
        <f>'DL 1'!E212</f>
        <v>0</v>
      </c>
      <c r="Y211" s="69">
        <f>'DL 1'!G212</f>
        <v>0</v>
      </c>
      <c r="AC211" t="str">
        <f>IFERROR(VLOOKUP(Y211,Data!$G$65:$K$79,2,0) *X211,"")</f>
        <v/>
      </c>
      <c r="AD211" s="7">
        <f t="shared" si="35"/>
        <v>0</v>
      </c>
      <c r="AE211">
        <f>'DL 1'!F212</f>
        <v>0</v>
      </c>
      <c r="AF211" t="str">
        <f>IFERROR(VLOOKUP(Y211,Data!$G$65:$K$79,4,0),"")</f>
        <v/>
      </c>
      <c r="AG211" s="51" t="e">
        <f>#REF!</f>
        <v>#REF!</v>
      </c>
      <c r="AK211">
        <f t="shared" si="36"/>
        <v>0</v>
      </c>
      <c r="AL211">
        <f t="shared" si="37"/>
        <v>0</v>
      </c>
      <c r="AM211" s="70">
        <f t="shared" si="38"/>
        <v>0</v>
      </c>
      <c r="AN211" s="7" t="b">
        <f t="shared" si="39"/>
        <v>0</v>
      </c>
    </row>
    <row r="212" spans="1:40" x14ac:dyDescent="0.3">
      <c r="A212" s="50">
        <f>IF(D212="A",_xlfn.IFNA(INDEX(Data!$H$24:$J$28,MATCH('DL 1'!E213,Data!$G$24:$G$28,1),MATCH('DL 1'!D213,Data!$H$23:$J$23,1)),0),0)</f>
        <v>0</v>
      </c>
      <c r="B212">
        <f>IF('DL 1'!F213="Y",Q212,0)</f>
        <v>0</v>
      </c>
      <c r="C212" t="e">
        <f>_xlfn.IFNA(INDEX(Data!$H$24:$J$28,MATCH(#REF!,Data!$G$24:$G$28,1),MATCH(#REF!,Data!$H$23:$J$23,1)),0)</f>
        <v>#REF!</v>
      </c>
      <c r="D212" t="str">
        <f>RIGHT(TRIM('DL 1'!G213),1)</f>
        <v/>
      </c>
      <c r="E212" s="8">
        <f>'DL 1'!E213*'DL 1'!D213</f>
        <v>0</v>
      </c>
      <c r="F212" t="str">
        <f>_xlfn.IFNA(VLOOKUP(TRIM('DL 1'!G213),Data!$A:$C,3,0),"")</f>
        <v/>
      </c>
      <c r="G212" s="7">
        <f>'DL 1'!E213</f>
        <v>0</v>
      </c>
      <c r="H212" s="21">
        <f>_xlfn.IFNA(VLOOKUP(TRIM('DL 1'!G213),Data!$A:$D,4,0),0)</f>
        <v>0</v>
      </c>
      <c r="I212">
        <f>_xlfn.IFNA(INDEX(Data!$G$5:$K$10,MATCH('DL 1'!D213,Data!$F$5:$F$10,1),MATCH(_xlfn.SINGLE(#REF!),Data!$G$4:$K$4,1)),0)</f>
        <v>0</v>
      </c>
      <c r="J212">
        <f>_xlfn.IFNA(IF(VLOOKUP(TRIM('DL 1'!G213),Data!$A:$C,3,0)="ST1",H212*I212*G212,IF(VLOOKUP(TRIM('DL 1'!G213),Data!$A:$C,3,0)="IR0",H212*G212,MIN(H212:I212)*G212)),0)</f>
        <v>0</v>
      </c>
      <c r="K212" t="e">
        <f>_xlfn.IFNA(VLOOKUP(TRIM(#REF!),Data!$A:$D,4,0)*#REF!,0)</f>
        <v>#REF!</v>
      </c>
      <c r="L212">
        <f>IF(TRIM('DL 1'!G213)="EDCLNHT0IRNLI",20000,0)</f>
        <v>0</v>
      </c>
      <c r="M212">
        <f>IF(ISERROR(MATCH('DL 1'!A213,#REF!,0)),0,J212*2)</f>
        <v>0</v>
      </c>
      <c r="N212" t="e">
        <f>#REF!</f>
        <v>#REF!</v>
      </c>
      <c r="O212">
        <f>_xlfn.IFNA(VLOOKUP(RIGHT(VLOOKUP(TRIM('DL 1'!G213),Data!$A:$B,2,0),1),Data!$L$23:$M$30,2,0),0)</f>
        <v>0</v>
      </c>
      <c r="P212">
        <f t="shared" si="40"/>
        <v>0</v>
      </c>
      <c r="Q212" s="7" t="b">
        <f t="shared" si="31"/>
        <v>0</v>
      </c>
      <c r="R212" s="27">
        <f>INCENTIVE!$E$8</f>
        <v>130000000</v>
      </c>
      <c r="S212">
        <f>'DL 1'!D213</f>
        <v>0</v>
      </c>
      <c r="T212" t="str">
        <f t="shared" si="32"/>
        <v>1</v>
      </c>
      <c r="V212" t="str">
        <f t="shared" si="33"/>
        <v>1</v>
      </c>
      <c r="W212">
        <f t="shared" si="34"/>
        <v>0.25</v>
      </c>
      <c r="X212" s="7">
        <f>'DL 1'!E213</f>
        <v>0</v>
      </c>
      <c r="Y212" s="69">
        <f>'DL 1'!G213</f>
        <v>0</v>
      </c>
      <c r="AC212" t="str">
        <f>IFERROR(VLOOKUP(Y212,Data!$G$65:$K$79,2,0) *X212,"")</f>
        <v/>
      </c>
      <c r="AD212" s="7">
        <f t="shared" si="35"/>
        <v>0</v>
      </c>
      <c r="AE212">
        <f>'DL 1'!F213</f>
        <v>0</v>
      </c>
      <c r="AF212" t="str">
        <f>IFERROR(VLOOKUP(Y212,Data!$G$65:$K$79,4,0),"")</f>
        <v/>
      </c>
      <c r="AG212" s="51" t="e">
        <f>#REF!</f>
        <v>#REF!</v>
      </c>
      <c r="AK212">
        <f t="shared" si="36"/>
        <v>0</v>
      </c>
      <c r="AL212">
        <f t="shared" si="37"/>
        <v>0</v>
      </c>
      <c r="AM212" s="70">
        <f t="shared" si="38"/>
        <v>0</v>
      </c>
      <c r="AN212" s="7" t="b">
        <f t="shared" si="39"/>
        <v>0</v>
      </c>
    </row>
    <row r="213" spans="1:40" x14ac:dyDescent="0.3">
      <c r="A213" s="50">
        <f>IF(D213="A",_xlfn.IFNA(INDEX(Data!$H$24:$J$28,MATCH('DL 1'!E214,Data!$G$24:$G$28,1),MATCH('DL 1'!D214,Data!$H$23:$J$23,1)),0),0)</f>
        <v>0</v>
      </c>
      <c r="B213">
        <f>IF('DL 1'!F214="Y",Q213,0)</f>
        <v>0</v>
      </c>
      <c r="C213" t="e">
        <f>_xlfn.IFNA(INDEX(Data!$H$24:$J$28,MATCH(#REF!,Data!$G$24:$G$28,1),MATCH(#REF!,Data!$H$23:$J$23,1)),0)</f>
        <v>#REF!</v>
      </c>
      <c r="D213" t="str">
        <f>RIGHT(TRIM('DL 1'!G214),1)</f>
        <v/>
      </c>
      <c r="E213" s="8">
        <f>'DL 1'!E214*'DL 1'!D214</f>
        <v>0</v>
      </c>
      <c r="F213" t="str">
        <f>_xlfn.IFNA(VLOOKUP(TRIM('DL 1'!G214),Data!$A:$C,3,0),"")</f>
        <v/>
      </c>
      <c r="G213" s="7">
        <f>'DL 1'!E214</f>
        <v>0</v>
      </c>
      <c r="H213" s="21">
        <f>_xlfn.IFNA(VLOOKUP(TRIM('DL 1'!G214),Data!$A:$D,4,0),0)</f>
        <v>0</v>
      </c>
      <c r="I213">
        <f>_xlfn.IFNA(INDEX(Data!$G$5:$K$10,MATCH('DL 1'!D214,Data!$F$5:$F$10,1),MATCH(_xlfn.SINGLE(#REF!),Data!$G$4:$K$4,1)),0)</f>
        <v>0</v>
      </c>
      <c r="J213">
        <f>_xlfn.IFNA(IF(VLOOKUP(TRIM('DL 1'!G214),Data!$A:$C,3,0)="ST1",H213*I213*G213,IF(VLOOKUP(TRIM('DL 1'!G214),Data!$A:$C,3,0)="IR0",H213*G213,MIN(H213:I213)*G213)),0)</f>
        <v>0</v>
      </c>
      <c r="K213" t="e">
        <f>_xlfn.IFNA(VLOOKUP(TRIM(#REF!),Data!$A:$D,4,0)*#REF!,0)</f>
        <v>#REF!</v>
      </c>
      <c r="L213">
        <f>IF(TRIM('DL 1'!G214)="EDCLNHT0IRNLI",20000,0)</f>
        <v>0</v>
      </c>
      <c r="M213">
        <f>IF(ISERROR(MATCH('DL 1'!A214,#REF!,0)),0,J213*2)</f>
        <v>0</v>
      </c>
      <c r="N213" t="e">
        <f>#REF!</f>
        <v>#REF!</v>
      </c>
      <c r="O213">
        <f>_xlfn.IFNA(VLOOKUP(RIGHT(VLOOKUP(TRIM('DL 1'!G214),Data!$A:$B,2,0),1),Data!$L$23:$M$30,2,0),0)</f>
        <v>0</v>
      </c>
      <c r="P213">
        <f t="shared" si="40"/>
        <v>0</v>
      </c>
      <c r="Q213" s="7" t="b">
        <f t="shared" si="31"/>
        <v>0</v>
      </c>
      <c r="R213" s="27">
        <f>INCENTIVE!$E$8</f>
        <v>130000000</v>
      </c>
      <c r="S213">
        <f>'DL 1'!D214</f>
        <v>0</v>
      </c>
      <c r="T213" t="str">
        <f t="shared" si="32"/>
        <v>1</v>
      </c>
      <c r="V213" t="str">
        <f t="shared" si="33"/>
        <v>1</v>
      </c>
      <c r="W213">
        <f t="shared" si="34"/>
        <v>0.25</v>
      </c>
      <c r="X213" s="7">
        <f>'DL 1'!E214</f>
        <v>0</v>
      </c>
      <c r="Y213" s="69">
        <f>'DL 1'!G214</f>
        <v>0</v>
      </c>
      <c r="AC213" t="str">
        <f>IFERROR(VLOOKUP(Y213,Data!$G$65:$K$79,2,0) *X213,"")</f>
        <v/>
      </c>
      <c r="AD213" s="7">
        <f t="shared" si="35"/>
        <v>0</v>
      </c>
      <c r="AE213">
        <f>'DL 1'!F214</f>
        <v>0</v>
      </c>
      <c r="AF213" t="str">
        <f>IFERROR(VLOOKUP(Y213,Data!$G$65:$K$79,4,0),"")</f>
        <v/>
      </c>
      <c r="AG213" s="51" t="e">
        <f>#REF!</f>
        <v>#REF!</v>
      </c>
      <c r="AK213">
        <f t="shared" si="36"/>
        <v>0</v>
      </c>
      <c r="AL213">
        <f t="shared" si="37"/>
        <v>0</v>
      </c>
      <c r="AM213" s="70">
        <f t="shared" si="38"/>
        <v>0</v>
      </c>
      <c r="AN213" s="7" t="b">
        <f t="shared" si="39"/>
        <v>0</v>
      </c>
    </row>
    <row r="214" spans="1:40" x14ac:dyDescent="0.3">
      <c r="A214" s="50">
        <f>IF(D214="A",_xlfn.IFNA(INDEX(Data!$H$24:$J$28,MATCH('DL 1'!E215,Data!$G$24:$G$28,1),MATCH('DL 1'!D215,Data!$H$23:$J$23,1)),0),0)</f>
        <v>0</v>
      </c>
      <c r="B214">
        <f>IF('DL 1'!F215="Y",Q214,0)</f>
        <v>0</v>
      </c>
      <c r="C214" t="e">
        <f>_xlfn.IFNA(INDEX(Data!$H$24:$J$28,MATCH(#REF!,Data!$G$24:$G$28,1),MATCH(#REF!,Data!$H$23:$J$23,1)),0)</f>
        <v>#REF!</v>
      </c>
      <c r="D214" t="str">
        <f>RIGHT(TRIM('DL 1'!G215),1)</f>
        <v/>
      </c>
      <c r="E214" s="8">
        <f>'DL 1'!E215*'DL 1'!D215</f>
        <v>0</v>
      </c>
      <c r="F214" t="str">
        <f>_xlfn.IFNA(VLOOKUP(TRIM('DL 1'!G215),Data!$A:$C,3,0),"")</f>
        <v/>
      </c>
      <c r="G214" s="7">
        <f>'DL 1'!E215</f>
        <v>0</v>
      </c>
      <c r="H214" s="21">
        <f>_xlfn.IFNA(VLOOKUP(TRIM('DL 1'!G215),Data!$A:$D,4,0),0)</f>
        <v>0</v>
      </c>
      <c r="I214">
        <f>_xlfn.IFNA(INDEX(Data!$G$5:$K$10,MATCH('DL 1'!D215,Data!$F$5:$F$10,1),MATCH(_xlfn.SINGLE(#REF!),Data!$G$4:$K$4,1)),0)</f>
        <v>0</v>
      </c>
      <c r="J214">
        <f>_xlfn.IFNA(IF(VLOOKUP(TRIM('DL 1'!G215),Data!$A:$C,3,0)="ST1",H214*I214*G214,IF(VLOOKUP(TRIM('DL 1'!G215),Data!$A:$C,3,0)="IR0",H214*G214,MIN(H214:I214)*G214)),0)</f>
        <v>0</v>
      </c>
      <c r="K214" t="e">
        <f>_xlfn.IFNA(VLOOKUP(TRIM(#REF!),Data!$A:$D,4,0)*#REF!,0)</f>
        <v>#REF!</v>
      </c>
      <c r="L214">
        <f>IF(TRIM('DL 1'!G215)="EDCLNHT0IRNLI",20000,0)</f>
        <v>0</v>
      </c>
      <c r="M214">
        <f>IF(ISERROR(MATCH('DL 1'!A215,#REF!,0)),0,J214*2)</f>
        <v>0</v>
      </c>
      <c r="N214" t="e">
        <f>#REF!</f>
        <v>#REF!</v>
      </c>
      <c r="O214">
        <f>_xlfn.IFNA(VLOOKUP(RIGHT(VLOOKUP(TRIM('DL 1'!G215),Data!$A:$B,2,0),1),Data!$L$23:$M$30,2,0),0)</f>
        <v>0</v>
      </c>
      <c r="P214">
        <f t="shared" si="40"/>
        <v>0</v>
      </c>
      <c r="Q214" s="7" t="b">
        <f t="shared" si="31"/>
        <v>0</v>
      </c>
      <c r="R214" s="27">
        <f>INCENTIVE!$E$8</f>
        <v>130000000</v>
      </c>
      <c r="S214">
        <f>'DL 1'!D215</f>
        <v>0</v>
      </c>
      <c r="T214" t="str">
        <f t="shared" si="32"/>
        <v>1</v>
      </c>
      <c r="V214" t="str">
        <f t="shared" si="33"/>
        <v>1</v>
      </c>
      <c r="W214">
        <f t="shared" si="34"/>
        <v>0.25</v>
      </c>
      <c r="X214" s="7">
        <f>'DL 1'!E215</f>
        <v>0</v>
      </c>
      <c r="Y214" s="69">
        <f>'DL 1'!G215</f>
        <v>0</v>
      </c>
      <c r="AC214" t="str">
        <f>IFERROR(VLOOKUP(Y214,Data!$G$65:$K$79,2,0) *X214,"")</f>
        <v/>
      </c>
      <c r="AD214" s="7">
        <f t="shared" si="35"/>
        <v>0</v>
      </c>
      <c r="AE214">
        <f>'DL 1'!F215</f>
        <v>0</v>
      </c>
      <c r="AF214" t="str">
        <f>IFERROR(VLOOKUP(Y214,Data!$G$65:$K$79,4,0),"")</f>
        <v/>
      </c>
      <c r="AG214" s="51" t="e">
        <f>#REF!</f>
        <v>#REF!</v>
      </c>
      <c r="AK214">
        <f t="shared" si="36"/>
        <v>0</v>
      </c>
      <c r="AL214">
        <f t="shared" si="37"/>
        <v>0</v>
      </c>
      <c r="AM214" s="70">
        <f t="shared" si="38"/>
        <v>0</v>
      </c>
      <c r="AN214" s="7" t="b">
        <f t="shared" si="39"/>
        <v>0</v>
      </c>
    </row>
    <row r="215" spans="1:40" x14ac:dyDescent="0.3">
      <c r="A215" s="50">
        <f>IF(D215="A",_xlfn.IFNA(INDEX(Data!$H$24:$J$28,MATCH('DL 1'!E216,Data!$G$24:$G$28,1),MATCH('DL 1'!D216,Data!$H$23:$J$23,1)),0),0)</f>
        <v>0</v>
      </c>
      <c r="B215">
        <f>IF('DL 1'!F216="Y",Q215,0)</f>
        <v>0</v>
      </c>
      <c r="C215" t="e">
        <f>_xlfn.IFNA(INDEX(Data!$H$24:$J$28,MATCH(#REF!,Data!$G$24:$G$28,1),MATCH(#REF!,Data!$H$23:$J$23,1)),0)</f>
        <v>#REF!</v>
      </c>
      <c r="D215" t="str">
        <f>RIGHT(TRIM('DL 1'!G216),1)</f>
        <v/>
      </c>
      <c r="E215" s="8">
        <f>'DL 1'!E216*'DL 1'!D216</f>
        <v>0</v>
      </c>
      <c r="F215" t="str">
        <f>_xlfn.IFNA(VLOOKUP(TRIM('DL 1'!G216),Data!$A:$C,3,0),"")</f>
        <v/>
      </c>
      <c r="G215" s="7">
        <f>'DL 1'!E216</f>
        <v>0</v>
      </c>
      <c r="H215" s="21">
        <f>_xlfn.IFNA(VLOOKUP(TRIM('DL 1'!G216),Data!$A:$D,4,0),0)</f>
        <v>0</v>
      </c>
      <c r="I215">
        <f>_xlfn.IFNA(INDEX(Data!$G$5:$K$10,MATCH('DL 1'!D216,Data!$F$5:$F$10,1),MATCH(_xlfn.SINGLE(#REF!),Data!$G$4:$K$4,1)),0)</f>
        <v>0</v>
      </c>
      <c r="J215">
        <f>_xlfn.IFNA(IF(VLOOKUP(TRIM('DL 1'!G216),Data!$A:$C,3,0)="ST1",H215*I215*G215,IF(VLOOKUP(TRIM('DL 1'!G216),Data!$A:$C,3,0)="IR0",H215*G215,MIN(H215:I215)*G215)),0)</f>
        <v>0</v>
      </c>
      <c r="K215" t="e">
        <f>_xlfn.IFNA(VLOOKUP(TRIM(#REF!),Data!$A:$D,4,0)*#REF!,0)</f>
        <v>#REF!</v>
      </c>
      <c r="L215">
        <f>IF(TRIM('DL 1'!G216)="EDCLNHT0IRNLI",20000,0)</f>
        <v>0</v>
      </c>
      <c r="M215">
        <f>IF(ISERROR(MATCH('DL 1'!A216,#REF!,0)),0,J215*2)</f>
        <v>0</v>
      </c>
      <c r="N215" t="e">
        <f>#REF!</f>
        <v>#REF!</v>
      </c>
      <c r="O215">
        <f>_xlfn.IFNA(VLOOKUP(RIGHT(VLOOKUP(TRIM('DL 1'!G216),Data!$A:$B,2,0),1),Data!$L$23:$M$30,2,0),0)</f>
        <v>0</v>
      </c>
      <c r="P215">
        <f t="shared" si="40"/>
        <v>0</v>
      </c>
      <c r="Q215" s="7" t="b">
        <f t="shared" si="31"/>
        <v>0</v>
      </c>
      <c r="R215" s="27">
        <f>INCENTIVE!$E$8</f>
        <v>130000000</v>
      </c>
      <c r="S215">
        <f>'DL 1'!D216</f>
        <v>0</v>
      </c>
      <c r="T215" t="str">
        <f t="shared" si="32"/>
        <v>1</v>
      </c>
      <c r="V215" t="str">
        <f t="shared" si="33"/>
        <v>1</v>
      </c>
      <c r="W215">
        <f t="shared" si="34"/>
        <v>0.25</v>
      </c>
      <c r="X215" s="7">
        <f>'DL 1'!E216</f>
        <v>0</v>
      </c>
      <c r="Y215" s="69">
        <f>'DL 1'!G216</f>
        <v>0</v>
      </c>
      <c r="AC215" t="str">
        <f>IFERROR(VLOOKUP(Y215,Data!$G$65:$K$79,2,0) *X215,"")</f>
        <v/>
      </c>
      <c r="AD215" s="7">
        <f t="shared" si="35"/>
        <v>0</v>
      </c>
      <c r="AE215">
        <f>'DL 1'!F216</f>
        <v>0</v>
      </c>
      <c r="AF215" t="str">
        <f>IFERROR(VLOOKUP(Y215,Data!$G$65:$K$79,4,0),"")</f>
        <v/>
      </c>
      <c r="AG215" s="51" t="e">
        <f>#REF!</f>
        <v>#REF!</v>
      </c>
      <c r="AK215">
        <f t="shared" si="36"/>
        <v>0</v>
      </c>
      <c r="AL215">
        <f t="shared" si="37"/>
        <v>0</v>
      </c>
      <c r="AM215" s="70">
        <f t="shared" si="38"/>
        <v>0</v>
      </c>
      <c r="AN215" s="7" t="b">
        <f t="shared" si="39"/>
        <v>0</v>
      </c>
    </row>
    <row r="216" spans="1:40" x14ac:dyDescent="0.3">
      <c r="A216" s="50">
        <f>IF(D216="A",_xlfn.IFNA(INDEX(Data!$H$24:$J$28,MATCH('DL 1'!E217,Data!$G$24:$G$28,1),MATCH('DL 1'!D217,Data!$H$23:$J$23,1)),0),0)</f>
        <v>0</v>
      </c>
      <c r="B216">
        <f>IF('DL 1'!F217="Y",Q216,0)</f>
        <v>0</v>
      </c>
      <c r="C216" t="e">
        <f>_xlfn.IFNA(INDEX(Data!$H$24:$J$28,MATCH(#REF!,Data!$G$24:$G$28,1),MATCH(#REF!,Data!$H$23:$J$23,1)),0)</f>
        <v>#REF!</v>
      </c>
      <c r="D216" t="str">
        <f>RIGHT(TRIM('DL 1'!G217),1)</f>
        <v/>
      </c>
      <c r="E216" s="8">
        <f>'DL 1'!E217*'DL 1'!D217</f>
        <v>0</v>
      </c>
      <c r="F216" t="str">
        <f>_xlfn.IFNA(VLOOKUP(TRIM('DL 1'!G217),Data!$A:$C,3,0),"")</f>
        <v/>
      </c>
      <c r="G216" s="7">
        <f>'DL 1'!E217</f>
        <v>0</v>
      </c>
      <c r="H216" s="21">
        <f>_xlfn.IFNA(VLOOKUP(TRIM('DL 1'!G217),Data!$A:$D,4,0),0)</f>
        <v>0</v>
      </c>
      <c r="I216">
        <f>_xlfn.IFNA(INDEX(Data!$G$5:$K$10,MATCH('DL 1'!D217,Data!$F$5:$F$10,1),MATCH(_xlfn.SINGLE(#REF!),Data!$G$4:$K$4,1)),0)</f>
        <v>0</v>
      </c>
      <c r="J216">
        <f>_xlfn.IFNA(IF(VLOOKUP(TRIM('DL 1'!G217),Data!$A:$C,3,0)="ST1",H216*I216*G216,IF(VLOOKUP(TRIM('DL 1'!G217),Data!$A:$C,3,0)="IR0",H216*G216,MIN(H216:I216)*G216)),0)</f>
        <v>0</v>
      </c>
      <c r="K216" t="e">
        <f>_xlfn.IFNA(VLOOKUP(TRIM(#REF!),Data!$A:$D,4,0)*#REF!,0)</f>
        <v>#REF!</v>
      </c>
      <c r="L216">
        <f>IF(TRIM('DL 1'!G217)="EDCLNHT0IRNLI",20000,0)</f>
        <v>0</v>
      </c>
      <c r="M216">
        <f>IF(ISERROR(MATCH('DL 1'!A217,#REF!,0)),0,J216*2)</f>
        <v>0</v>
      </c>
      <c r="N216" t="e">
        <f>#REF!</f>
        <v>#REF!</v>
      </c>
      <c r="O216">
        <f>_xlfn.IFNA(VLOOKUP(RIGHT(VLOOKUP(TRIM('DL 1'!G217),Data!$A:$B,2,0),1),Data!$L$23:$M$30,2,0),0)</f>
        <v>0</v>
      </c>
      <c r="P216">
        <f t="shared" si="40"/>
        <v>0</v>
      </c>
      <c r="Q216" s="7" t="b">
        <f t="shared" si="31"/>
        <v>0</v>
      </c>
      <c r="R216" s="27">
        <f>INCENTIVE!$E$8</f>
        <v>130000000</v>
      </c>
      <c r="S216">
        <f>'DL 1'!D217</f>
        <v>0</v>
      </c>
      <c r="T216" t="str">
        <f t="shared" si="32"/>
        <v>1</v>
      </c>
      <c r="V216" t="str">
        <f t="shared" si="33"/>
        <v>1</v>
      </c>
      <c r="W216">
        <f t="shared" si="34"/>
        <v>0.25</v>
      </c>
      <c r="X216" s="7">
        <f>'DL 1'!E217</f>
        <v>0</v>
      </c>
      <c r="Y216" s="69">
        <f>'DL 1'!G217</f>
        <v>0</v>
      </c>
      <c r="AC216" t="str">
        <f>IFERROR(VLOOKUP(Y216,Data!$G$65:$K$79,2,0) *X216,"")</f>
        <v/>
      </c>
      <c r="AD216" s="7">
        <f t="shared" si="35"/>
        <v>0</v>
      </c>
      <c r="AE216">
        <f>'DL 1'!F217</f>
        <v>0</v>
      </c>
      <c r="AF216" t="str">
        <f>IFERROR(VLOOKUP(Y216,Data!$G$65:$K$79,4,0),"")</f>
        <v/>
      </c>
      <c r="AG216" s="51" t="e">
        <f>#REF!</f>
        <v>#REF!</v>
      </c>
      <c r="AK216">
        <f t="shared" si="36"/>
        <v>0</v>
      </c>
      <c r="AL216">
        <f t="shared" si="37"/>
        <v>0</v>
      </c>
      <c r="AM216" s="70">
        <f t="shared" si="38"/>
        <v>0</v>
      </c>
      <c r="AN216" s="7" t="b">
        <f t="shared" si="39"/>
        <v>0</v>
      </c>
    </row>
    <row r="217" spans="1:40" x14ac:dyDescent="0.3">
      <c r="A217" s="50">
        <f>IF(D217="A",_xlfn.IFNA(INDEX(Data!$H$24:$J$28,MATCH('DL 1'!E218,Data!$G$24:$G$28,1),MATCH('DL 1'!D218,Data!$H$23:$J$23,1)),0),0)</f>
        <v>0</v>
      </c>
      <c r="B217">
        <f>IF('DL 1'!F218="Y",Q217,0)</f>
        <v>0</v>
      </c>
      <c r="C217" t="e">
        <f>_xlfn.IFNA(INDEX(Data!$H$24:$J$28,MATCH(#REF!,Data!$G$24:$G$28,1),MATCH(#REF!,Data!$H$23:$J$23,1)),0)</f>
        <v>#REF!</v>
      </c>
      <c r="D217" t="str">
        <f>RIGHT(TRIM('DL 1'!G218),1)</f>
        <v/>
      </c>
      <c r="E217" s="8">
        <f>'DL 1'!E218*'DL 1'!D218</f>
        <v>0</v>
      </c>
      <c r="F217" t="str">
        <f>_xlfn.IFNA(VLOOKUP(TRIM('DL 1'!G218),Data!$A:$C,3,0),"")</f>
        <v/>
      </c>
      <c r="G217" s="7">
        <f>'DL 1'!E218</f>
        <v>0</v>
      </c>
      <c r="H217" s="21">
        <f>_xlfn.IFNA(VLOOKUP(TRIM('DL 1'!G218),Data!$A:$D,4,0),0)</f>
        <v>0</v>
      </c>
      <c r="I217">
        <f>_xlfn.IFNA(INDEX(Data!$G$5:$K$10,MATCH('DL 1'!D218,Data!$F$5:$F$10,1),MATCH(_xlfn.SINGLE(#REF!),Data!$G$4:$K$4,1)),0)</f>
        <v>0</v>
      </c>
      <c r="J217">
        <f>_xlfn.IFNA(IF(VLOOKUP(TRIM('DL 1'!G218),Data!$A:$C,3,0)="ST1",H217*I217*G217,IF(VLOOKUP(TRIM('DL 1'!G218),Data!$A:$C,3,0)="IR0",H217*G217,MIN(H217:I217)*G217)),0)</f>
        <v>0</v>
      </c>
      <c r="K217" t="e">
        <f>_xlfn.IFNA(VLOOKUP(TRIM(#REF!),Data!$A:$D,4,0)*#REF!,0)</f>
        <v>#REF!</v>
      </c>
      <c r="L217">
        <f>IF(TRIM('DL 1'!G218)="EDCLNHT0IRNLI",20000,0)</f>
        <v>0</v>
      </c>
      <c r="M217">
        <f>IF(ISERROR(MATCH('DL 1'!A218,#REF!,0)),0,J217*2)</f>
        <v>0</v>
      </c>
      <c r="N217" t="e">
        <f>#REF!</f>
        <v>#REF!</v>
      </c>
      <c r="O217">
        <f>_xlfn.IFNA(VLOOKUP(RIGHT(VLOOKUP(TRIM('DL 1'!G218),Data!$A:$B,2,0),1),Data!$L$23:$M$30,2,0),0)</f>
        <v>0</v>
      </c>
      <c r="P217">
        <f t="shared" si="40"/>
        <v>0</v>
      </c>
      <c r="Q217" s="7" t="b">
        <f t="shared" si="31"/>
        <v>0</v>
      </c>
      <c r="R217" s="27">
        <f>INCENTIVE!$E$8</f>
        <v>130000000</v>
      </c>
      <c r="S217">
        <f>'DL 1'!D218</f>
        <v>0</v>
      </c>
      <c r="T217" t="str">
        <f t="shared" si="32"/>
        <v>1</v>
      </c>
      <c r="V217" t="str">
        <f t="shared" si="33"/>
        <v>1</v>
      </c>
      <c r="W217">
        <f t="shared" si="34"/>
        <v>0.25</v>
      </c>
      <c r="X217" s="7">
        <f>'DL 1'!E218</f>
        <v>0</v>
      </c>
      <c r="Y217" s="69">
        <f>'DL 1'!G218</f>
        <v>0</v>
      </c>
      <c r="AC217" t="str">
        <f>IFERROR(VLOOKUP(Y217,Data!$G$65:$K$79,2,0) *X217,"")</f>
        <v/>
      </c>
      <c r="AD217" s="7">
        <f t="shared" si="35"/>
        <v>0</v>
      </c>
      <c r="AE217">
        <f>'DL 1'!F218</f>
        <v>0</v>
      </c>
      <c r="AF217" t="str">
        <f>IFERROR(VLOOKUP(Y217,Data!$G$65:$K$79,4,0),"")</f>
        <v/>
      </c>
      <c r="AG217" s="51" t="e">
        <f>#REF!</f>
        <v>#REF!</v>
      </c>
      <c r="AK217">
        <f t="shared" si="36"/>
        <v>0</v>
      </c>
      <c r="AL217">
        <f t="shared" si="37"/>
        <v>0</v>
      </c>
      <c r="AM217" s="70">
        <f t="shared" si="38"/>
        <v>0</v>
      </c>
      <c r="AN217" s="7" t="b">
        <f t="shared" si="39"/>
        <v>0</v>
      </c>
    </row>
    <row r="218" spans="1:40" x14ac:dyDescent="0.3">
      <c r="A218" s="50">
        <f>IF(D218="A",_xlfn.IFNA(INDEX(Data!$H$24:$J$28,MATCH('DL 1'!E219,Data!$G$24:$G$28,1),MATCH('DL 1'!D219,Data!$H$23:$J$23,1)),0),0)</f>
        <v>0</v>
      </c>
      <c r="B218">
        <f>IF('DL 1'!F219="Y",Q218,0)</f>
        <v>0</v>
      </c>
      <c r="C218" t="e">
        <f>_xlfn.IFNA(INDEX(Data!$H$24:$J$28,MATCH(#REF!,Data!$G$24:$G$28,1),MATCH(#REF!,Data!$H$23:$J$23,1)),0)</f>
        <v>#REF!</v>
      </c>
      <c r="D218" t="str">
        <f>RIGHT(TRIM('DL 1'!G219),1)</f>
        <v/>
      </c>
      <c r="E218" s="8">
        <f>'DL 1'!E219*'DL 1'!D219</f>
        <v>0</v>
      </c>
      <c r="F218" t="str">
        <f>_xlfn.IFNA(VLOOKUP(TRIM('DL 1'!G219),Data!$A:$C,3,0),"")</f>
        <v/>
      </c>
      <c r="G218" s="7">
        <f>'DL 1'!E219</f>
        <v>0</v>
      </c>
      <c r="H218" s="21">
        <f>_xlfn.IFNA(VLOOKUP(TRIM('DL 1'!G219),Data!$A:$D,4,0),0)</f>
        <v>0</v>
      </c>
      <c r="I218">
        <f>_xlfn.IFNA(INDEX(Data!$G$5:$K$10,MATCH('DL 1'!D219,Data!$F$5:$F$10,1),MATCH(_xlfn.SINGLE(#REF!),Data!$G$4:$K$4,1)),0)</f>
        <v>0</v>
      </c>
      <c r="J218">
        <f>_xlfn.IFNA(IF(VLOOKUP(TRIM('DL 1'!G219),Data!$A:$C,3,0)="ST1",H218*I218*G218,IF(VLOOKUP(TRIM('DL 1'!G219),Data!$A:$C,3,0)="IR0",H218*G218,MIN(H218:I218)*G218)),0)</f>
        <v>0</v>
      </c>
      <c r="K218" t="e">
        <f>_xlfn.IFNA(VLOOKUP(TRIM(#REF!),Data!$A:$D,4,0)*#REF!,0)</f>
        <v>#REF!</v>
      </c>
      <c r="L218">
        <f>IF(TRIM('DL 1'!G219)="EDCLNHT0IRNLI",20000,0)</f>
        <v>0</v>
      </c>
      <c r="M218">
        <f>IF(ISERROR(MATCH('DL 1'!A219,#REF!,0)),0,J218*2)</f>
        <v>0</v>
      </c>
      <c r="N218" t="e">
        <f>#REF!</f>
        <v>#REF!</v>
      </c>
      <c r="O218">
        <f>_xlfn.IFNA(VLOOKUP(RIGHT(VLOOKUP(TRIM('DL 1'!G219),Data!$A:$B,2,0),1),Data!$L$23:$M$30,2,0),0)</f>
        <v>0</v>
      </c>
      <c r="P218">
        <f t="shared" si="40"/>
        <v>0</v>
      </c>
      <c r="Q218" s="7" t="b">
        <f t="shared" si="31"/>
        <v>0</v>
      </c>
      <c r="R218" s="27">
        <f>INCENTIVE!$E$8</f>
        <v>130000000</v>
      </c>
      <c r="S218">
        <f>'DL 1'!D219</f>
        <v>0</v>
      </c>
      <c r="T218" t="str">
        <f t="shared" si="32"/>
        <v>1</v>
      </c>
      <c r="V218" t="str">
        <f t="shared" si="33"/>
        <v>1</v>
      </c>
      <c r="W218">
        <f t="shared" si="34"/>
        <v>0.25</v>
      </c>
      <c r="X218" s="7">
        <f>'DL 1'!E219</f>
        <v>0</v>
      </c>
      <c r="Y218" s="69">
        <f>'DL 1'!G219</f>
        <v>0</v>
      </c>
      <c r="AC218" t="str">
        <f>IFERROR(VLOOKUP(Y218,Data!$G$65:$K$79,2,0) *X218,"")</f>
        <v/>
      </c>
      <c r="AD218" s="7">
        <f t="shared" si="35"/>
        <v>0</v>
      </c>
      <c r="AE218">
        <f>'DL 1'!F219</f>
        <v>0</v>
      </c>
      <c r="AF218" t="str">
        <f>IFERROR(VLOOKUP(Y218,Data!$G$65:$K$79,4,0),"")</f>
        <v/>
      </c>
      <c r="AG218" s="51" t="e">
        <f>#REF!</f>
        <v>#REF!</v>
      </c>
      <c r="AK218">
        <f t="shared" si="36"/>
        <v>0</v>
      </c>
      <c r="AL218">
        <f t="shared" si="37"/>
        <v>0</v>
      </c>
      <c r="AM218" s="70">
        <f t="shared" si="38"/>
        <v>0</v>
      </c>
      <c r="AN218" s="7" t="b">
        <f t="shared" si="39"/>
        <v>0</v>
      </c>
    </row>
    <row r="219" spans="1:40" x14ac:dyDescent="0.3">
      <c r="A219" s="50">
        <f>IF(D219="A",_xlfn.IFNA(INDEX(Data!$H$24:$J$28,MATCH('DL 1'!E220,Data!$G$24:$G$28,1),MATCH('DL 1'!D220,Data!$H$23:$J$23,1)),0),0)</f>
        <v>0</v>
      </c>
      <c r="B219">
        <f>IF('DL 1'!F220="Y",Q219,0)</f>
        <v>0</v>
      </c>
      <c r="C219" t="e">
        <f>_xlfn.IFNA(INDEX(Data!$H$24:$J$28,MATCH(#REF!,Data!$G$24:$G$28,1),MATCH(#REF!,Data!$H$23:$J$23,1)),0)</f>
        <v>#REF!</v>
      </c>
      <c r="D219" t="str">
        <f>RIGHT(TRIM('DL 1'!G220),1)</f>
        <v/>
      </c>
      <c r="E219" s="8">
        <f>'DL 1'!E220*'DL 1'!D220</f>
        <v>0</v>
      </c>
      <c r="F219" t="str">
        <f>_xlfn.IFNA(VLOOKUP(TRIM('DL 1'!G220),Data!$A:$C,3,0),"")</f>
        <v/>
      </c>
      <c r="G219" s="7">
        <f>'DL 1'!E220</f>
        <v>0</v>
      </c>
      <c r="H219" s="21">
        <f>_xlfn.IFNA(VLOOKUP(TRIM('DL 1'!G220),Data!$A:$D,4,0),0)</f>
        <v>0</v>
      </c>
      <c r="I219">
        <f>_xlfn.IFNA(INDEX(Data!$G$5:$K$10,MATCH('DL 1'!D220,Data!$F$5:$F$10,1),MATCH(_xlfn.SINGLE(#REF!),Data!$G$4:$K$4,1)),0)</f>
        <v>0</v>
      </c>
      <c r="J219">
        <f>_xlfn.IFNA(IF(VLOOKUP(TRIM('DL 1'!G220),Data!$A:$C,3,0)="ST1",H219*I219*G219,IF(VLOOKUP(TRIM('DL 1'!G220),Data!$A:$C,3,0)="IR0",H219*G219,MIN(H219:I219)*G219)),0)</f>
        <v>0</v>
      </c>
      <c r="K219" t="e">
        <f>_xlfn.IFNA(VLOOKUP(TRIM(#REF!),Data!$A:$D,4,0)*#REF!,0)</f>
        <v>#REF!</v>
      </c>
      <c r="L219">
        <f>IF(TRIM('DL 1'!G220)="EDCLNHT0IRNLI",20000,0)</f>
        <v>0</v>
      </c>
      <c r="M219">
        <f>IF(ISERROR(MATCH('DL 1'!A220,#REF!,0)),0,J219*2)</f>
        <v>0</v>
      </c>
      <c r="N219" t="e">
        <f>#REF!</f>
        <v>#REF!</v>
      </c>
      <c r="O219">
        <f>_xlfn.IFNA(VLOOKUP(RIGHT(VLOOKUP(TRIM('DL 1'!G220),Data!$A:$B,2,0),1),Data!$L$23:$M$30,2,0),0)</f>
        <v>0</v>
      </c>
      <c r="P219">
        <f t="shared" si="40"/>
        <v>0</v>
      </c>
      <c r="Q219" s="7" t="b">
        <f t="shared" si="31"/>
        <v>0</v>
      </c>
      <c r="R219" s="27">
        <f>INCENTIVE!$E$8</f>
        <v>130000000</v>
      </c>
      <c r="S219">
        <f>'DL 1'!D220</f>
        <v>0</v>
      </c>
      <c r="T219" t="str">
        <f t="shared" si="32"/>
        <v>1</v>
      </c>
      <c r="V219" t="str">
        <f t="shared" si="33"/>
        <v>1</v>
      </c>
      <c r="W219">
        <f t="shared" si="34"/>
        <v>0.25</v>
      </c>
      <c r="X219" s="7">
        <f>'DL 1'!E220</f>
        <v>0</v>
      </c>
      <c r="Y219" s="69">
        <f>'DL 1'!G220</f>
        <v>0</v>
      </c>
      <c r="AC219" t="str">
        <f>IFERROR(VLOOKUP(Y219,Data!$G$65:$K$79,2,0) *X219,"")</f>
        <v/>
      </c>
      <c r="AD219" s="7">
        <f t="shared" si="35"/>
        <v>0</v>
      </c>
      <c r="AE219">
        <f>'DL 1'!F220</f>
        <v>0</v>
      </c>
      <c r="AF219" t="str">
        <f>IFERROR(VLOOKUP(Y219,Data!$G$65:$K$79,4,0),"")</f>
        <v/>
      </c>
      <c r="AG219" s="51" t="e">
        <f>#REF!</f>
        <v>#REF!</v>
      </c>
      <c r="AK219">
        <f t="shared" si="36"/>
        <v>0</v>
      </c>
      <c r="AL219">
        <f t="shared" si="37"/>
        <v>0</v>
      </c>
      <c r="AM219" s="70">
        <f t="shared" si="38"/>
        <v>0</v>
      </c>
      <c r="AN219" s="7" t="b">
        <f t="shared" si="39"/>
        <v>0</v>
      </c>
    </row>
    <row r="220" spans="1:40" x14ac:dyDescent="0.3">
      <c r="A220" s="50">
        <f>IF(D220="A",_xlfn.IFNA(INDEX(Data!$H$24:$J$28,MATCH('DL 1'!E221,Data!$G$24:$G$28,1),MATCH('DL 1'!D221,Data!$H$23:$J$23,1)),0),0)</f>
        <v>0</v>
      </c>
      <c r="B220">
        <f>IF('DL 1'!F221="Y",Q220,0)</f>
        <v>0</v>
      </c>
      <c r="C220" t="e">
        <f>_xlfn.IFNA(INDEX(Data!$H$24:$J$28,MATCH(#REF!,Data!$G$24:$G$28,1),MATCH(#REF!,Data!$H$23:$J$23,1)),0)</f>
        <v>#REF!</v>
      </c>
      <c r="D220" t="str">
        <f>RIGHT(TRIM('DL 1'!G221),1)</f>
        <v/>
      </c>
      <c r="E220" s="8">
        <f>'DL 1'!E221*'DL 1'!D221</f>
        <v>0</v>
      </c>
      <c r="F220" t="str">
        <f>_xlfn.IFNA(VLOOKUP(TRIM('DL 1'!G221),Data!$A:$C,3,0),"")</f>
        <v/>
      </c>
      <c r="G220" s="7">
        <f>'DL 1'!E221</f>
        <v>0</v>
      </c>
      <c r="H220" s="21">
        <f>_xlfn.IFNA(VLOOKUP(TRIM('DL 1'!G221),Data!$A:$D,4,0),0)</f>
        <v>0</v>
      </c>
      <c r="I220">
        <f>_xlfn.IFNA(INDEX(Data!$G$5:$K$10,MATCH('DL 1'!D221,Data!$F$5:$F$10,1),MATCH(_xlfn.SINGLE(#REF!),Data!$G$4:$K$4,1)),0)</f>
        <v>0</v>
      </c>
      <c r="J220">
        <f>_xlfn.IFNA(IF(VLOOKUP(TRIM('DL 1'!G221),Data!$A:$C,3,0)="ST1",H220*I220*G220,IF(VLOOKUP(TRIM('DL 1'!G221),Data!$A:$C,3,0)="IR0",H220*G220,MIN(H220:I220)*G220)),0)</f>
        <v>0</v>
      </c>
      <c r="K220" t="e">
        <f>_xlfn.IFNA(VLOOKUP(TRIM(#REF!),Data!$A:$D,4,0)*#REF!,0)</f>
        <v>#REF!</v>
      </c>
      <c r="L220">
        <f>IF(TRIM('DL 1'!G221)="EDCLNHT0IRNLI",20000,0)</f>
        <v>0</v>
      </c>
      <c r="M220">
        <f>IF(ISERROR(MATCH('DL 1'!A221,#REF!,0)),0,J220*2)</f>
        <v>0</v>
      </c>
      <c r="N220" t="e">
        <f>#REF!</f>
        <v>#REF!</v>
      </c>
      <c r="O220">
        <f>_xlfn.IFNA(VLOOKUP(RIGHT(VLOOKUP(TRIM('DL 1'!G221),Data!$A:$B,2,0),1),Data!$L$23:$M$30,2,0),0)</f>
        <v>0</v>
      </c>
      <c r="P220">
        <f t="shared" si="40"/>
        <v>0</v>
      </c>
      <c r="Q220" s="7" t="b">
        <f t="shared" si="31"/>
        <v>0</v>
      </c>
      <c r="R220" s="27">
        <f>INCENTIVE!$E$8</f>
        <v>130000000</v>
      </c>
      <c r="S220">
        <f>'DL 1'!D221</f>
        <v>0</v>
      </c>
      <c r="T220" t="str">
        <f t="shared" si="32"/>
        <v>1</v>
      </c>
      <c r="V220" t="str">
        <f t="shared" si="33"/>
        <v>1</v>
      </c>
      <c r="W220">
        <f t="shared" si="34"/>
        <v>0.25</v>
      </c>
      <c r="X220" s="7">
        <f>'DL 1'!E221</f>
        <v>0</v>
      </c>
      <c r="Y220" s="69">
        <f>'DL 1'!G221</f>
        <v>0</v>
      </c>
      <c r="AC220" t="str">
        <f>IFERROR(VLOOKUP(Y220,Data!$G$65:$K$79,2,0) *X220,"")</f>
        <v/>
      </c>
      <c r="AD220" s="7">
        <f t="shared" si="35"/>
        <v>0</v>
      </c>
      <c r="AE220">
        <f>'DL 1'!F221</f>
        <v>0</v>
      </c>
      <c r="AF220" t="str">
        <f>IFERROR(VLOOKUP(Y220,Data!$G$65:$K$79,4,0),"")</f>
        <v/>
      </c>
      <c r="AG220" s="51" t="e">
        <f>#REF!</f>
        <v>#REF!</v>
      </c>
      <c r="AK220">
        <f t="shared" si="36"/>
        <v>0</v>
      </c>
      <c r="AL220">
        <f t="shared" si="37"/>
        <v>0</v>
      </c>
      <c r="AM220" s="70">
        <f t="shared" si="38"/>
        <v>0</v>
      </c>
      <c r="AN220" s="7" t="b">
        <f t="shared" si="39"/>
        <v>0</v>
      </c>
    </row>
    <row r="221" spans="1:40" x14ac:dyDescent="0.3">
      <c r="A221" s="50">
        <f>IF(D221="A",_xlfn.IFNA(INDEX(Data!$H$24:$J$28,MATCH('DL 1'!E222,Data!$G$24:$G$28,1),MATCH('DL 1'!D222,Data!$H$23:$J$23,1)),0),0)</f>
        <v>0</v>
      </c>
      <c r="B221">
        <f>IF('DL 1'!F222="Y",Q221,0)</f>
        <v>0</v>
      </c>
      <c r="C221" t="e">
        <f>_xlfn.IFNA(INDEX(Data!$H$24:$J$28,MATCH(#REF!,Data!$G$24:$G$28,1),MATCH(#REF!,Data!$H$23:$J$23,1)),0)</f>
        <v>#REF!</v>
      </c>
      <c r="D221" t="str">
        <f>RIGHT(TRIM('DL 1'!G222),1)</f>
        <v/>
      </c>
      <c r="E221" s="8">
        <f>'DL 1'!E222*'DL 1'!D222</f>
        <v>0</v>
      </c>
      <c r="F221" t="str">
        <f>_xlfn.IFNA(VLOOKUP(TRIM('DL 1'!G222),Data!$A:$C,3,0),"")</f>
        <v/>
      </c>
      <c r="G221" s="7">
        <f>'DL 1'!E222</f>
        <v>0</v>
      </c>
      <c r="H221" s="21">
        <f>_xlfn.IFNA(VLOOKUP(TRIM('DL 1'!G222),Data!$A:$D,4,0),0)</f>
        <v>0</v>
      </c>
      <c r="I221">
        <f>_xlfn.IFNA(INDEX(Data!$G$5:$K$10,MATCH('DL 1'!D222,Data!$F$5:$F$10,1),MATCH(_xlfn.SINGLE(#REF!),Data!$G$4:$K$4,1)),0)</f>
        <v>0</v>
      </c>
      <c r="J221">
        <f>_xlfn.IFNA(IF(VLOOKUP(TRIM('DL 1'!G222),Data!$A:$C,3,0)="ST1",H221*I221*G221,IF(VLOOKUP(TRIM('DL 1'!G222),Data!$A:$C,3,0)="IR0",H221*G221,MIN(H221:I221)*G221)),0)</f>
        <v>0</v>
      </c>
      <c r="K221" t="e">
        <f>_xlfn.IFNA(VLOOKUP(TRIM(#REF!),Data!$A:$D,4,0)*#REF!,0)</f>
        <v>#REF!</v>
      </c>
      <c r="L221">
        <f>IF(TRIM('DL 1'!G222)="EDCLNHT0IRNLI",20000,0)</f>
        <v>0</v>
      </c>
      <c r="M221">
        <f>IF(ISERROR(MATCH('DL 1'!A222,#REF!,0)),0,J221*2)</f>
        <v>0</v>
      </c>
      <c r="N221" t="e">
        <f>#REF!</f>
        <v>#REF!</v>
      </c>
      <c r="O221">
        <f>_xlfn.IFNA(VLOOKUP(RIGHT(VLOOKUP(TRIM('DL 1'!G222),Data!$A:$B,2,0),1),Data!$L$23:$M$30,2,0),0)</f>
        <v>0</v>
      </c>
      <c r="P221">
        <f t="shared" si="40"/>
        <v>0</v>
      </c>
      <c r="Q221" s="7" t="b">
        <f t="shared" si="31"/>
        <v>0</v>
      </c>
      <c r="R221" s="27">
        <f>INCENTIVE!$E$8</f>
        <v>130000000</v>
      </c>
      <c r="S221">
        <f>'DL 1'!D222</f>
        <v>0</v>
      </c>
      <c r="T221" t="str">
        <f t="shared" si="32"/>
        <v>1</v>
      </c>
      <c r="V221" t="str">
        <f t="shared" si="33"/>
        <v>1</v>
      </c>
      <c r="W221">
        <f t="shared" si="34"/>
        <v>0.25</v>
      </c>
      <c r="X221" s="7">
        <f>'DL 1'!E222</f>
        <v>0</v>
      </c>
      <c r="Y221" s="69">
        <f>'DL 1'!G222</f>
        <v>0</v>
      </c>
      <c r="AC221" t="str">
        <f>IFERROR(VLOOKUP(Y221,Data!$G$65:$K$79,2,0) *X221,"")</f>
        <v/>
      </c>
      <c r="AD221" s="7">
        <f t="shared" si="35"/>
        <v>0</v>
      </c>
      <c r="AE221">
        <f>'DL 1'!F222</f>
        <v>0</v>
      </c>
      <c r="AF221" t="str">
        <f>IFERROR(VLOOKUP(Y221,Data!$G$65:$K$79,4,0),"")</f>
        <v/>
      </c>
      <c r="AG221" s="51" t="e">
        <f>#REF!</f>
        <v>#REF!</v>
      </c>
      <c r="AK221">
        <f t="shared" si="36"/>
        <v>0</v>
      </c>
      <c r="AL221">
        <f t="shared" si="37"/>
        <v>0</v>
      </c>
      <c r="AM221" s="70">
        <f t="shared" si="38"/>
        <v>0</v>
      </c>
      <c r="AN221" s="7" t="b">
        <f t="shared" si="39"/>
        <v>0</v>
      </c>
    </row>
    <row r="222" spans="1:40" x14ac:dyDescent="0.3">
      <c r="A222" s="50">
        <f>IF(D222="A",_xlfn.IFNA(INDEX(Data!$H$24:$J$28,MATCH('DL 1'!E223,Data!$G$24:$G$28,1),MATCH('DL 1'!D223,Data!$H$23:$J$23,1)),0),0)</f>
        <v>0</v>
      </c>
      <c r="B222">
        <f>IF('DL 1'!F223="Y",Q222,0)</f>
        <v>0</v>
      </c>
      <c r="C222" t="e">
        <f>_xlfn.IFNA(INDEX(Data!$H$24:$J$28,MATCH(#REF!,Data!$G$24:$G$28,1),MATCH(#REF!,Data!$H$23:$J$23,1)),0)</f>
        <v>#REF!</v>
      </c>
      <c r="D222" t="str">
        <f>RIGHT(TRIM('DL 1'!G223),1)</f>
        <v/>
      </c>
      <c r="E222" s="8">
        <f>'DL 1'!E223*'DL 1'!D223</f>
        <v>0</v>
      </c>
      <c r="F222" t="str">
        <f>_xlfn.IFNA(VLOOKUP(TRIM('DL 1'!G223),Data!$A:$C,3,0),"")</f>
        <v/>
      </c>
      <c r="G222" s="7">
        <f>'DL 1'!E223</f>
        <v>0</v>
      </c>
      <c r="H222" s="21">
        <f>_xlfn.IFNA(VLOOKUP(TRIM('DL 1'!G223),Data!$A:$D,4,0),0)</f>
        <v>0</v>
      </c>
      <c r="I222">
        <f>_xlfn.IFNA(INDEX(Data!$G$5:$K$10,MATCH('DL 1'!D223,Data!$F$5:$F$10,1),MATCH(_xlfn.SINGLE(#REF!),Data!$G$4:$K$4,1)),0)</f>
        <v>0</v>
      </c>
      <c r="J222">
        <f>_xlfn.IFNA(IF(VLOOKUP(TRIM('DL 1'!G223),Data!$A:$C,3,0)="ST1",H222*I222*G222,IF(VLOOKUP(TRIM('DL 1'!G223),Data!$A:$C,3,0)="IR0",H222*G222,MIN(H222:I222)*G222)),0)</f>
        <v>0</v>
      </c>
      <c r="K222" t="e">
        <f>_xlfn.IFNA(VLOOKUP(TRIM(#REF!),Data!$A:$D,4,0)*#REF!,0)</f>
        <v>#REF!</v>
      </c>
      <c r="L222">
        <f>IF(TRIM('DL 1'!G223)="EDCLNHT0IRNLI",20000,0)</f>
        <v>0</v>
      </c>
      <c r="M222">
        <f>IF(ISERROR(MATCH('DL 1'!A223,#REF!,0)),0,J222*2)</f>
        <v>0</v>
      </c>
      <c r="N222" t="e">
        <f>#REF!</f>
        <v>#REF!</v>
      </c>
      <c r="O222">
        <f>_xlfn.IFNA(VLOOKUP(RIGHT(VLOOKUP(TRIM('DL 1'!G223),Data!$A:$B,2,0),1),Data!$L$23:$M$30,2,0),0)</f>
        <v>0</v>
      </c>
      <c r="P222">
        <f t="shared" si="40"/>
        <v>0</v>
      </c>
      <c r="Q222" s="7" t="b">
        <f t="shared" si="31"/>
        <v>0</v>
      </c>
      <c r="R222" s="27">
        <f>INCENTIVE!$E$8</f>
        <v>130000000</v>
      </c>
      <c r="S222">
        <f>'DL 1'!D223</f>
        <v>0</v>
      </c>
      <c r="T222" t="str">
        <f t="shared" si="32"/>
        <v>1</v>
      </c>
      <c r="V222" t="str">
        <f t="shared" si="33"/>
        <v>1</v>
      </c>
      <c r="W222">
        <f t="shared" si="34"/>
        <v>0.25</v>
      </c>
      <c r="X222" s="7">
        <f>'DL 1'!E223</f>
        <v>0</v>
      </c>
      <c r="Y222" s="69">
        <f>'DL 1'!G223</f>
        <v>0</v>
      </c>
      <c r="AC222" t="str">
        <f>IFERROR(VLOOKUP(Y222,Data!$G$65:$K$79,2,0) *X222,"")</f>
        <v/>
      </c>
      <c r="AD222" s="7">
        <f t="shared" si="35"/>
        <v>0</v>
      </c>
      <c r="AE222">
        <f>'DL 1'!F223</f>
        <v>0</v>
      </c>
      <c r="AF222" t="str">
        <f>IFERROR(VLOOKUP(Y222,Data!$G$65:$K$79,4,0),"")</f>
        <v/>
      </c>
      <c r="AG222" s="51" t="e">
        <f>#REF!</f>
        <v>#REF!</v>
      </c>
      <c r="AK222">
        <f t="shared" si="36"/>
        <v>0</v>
      </c>
      <c r="AL222">
        <f t="shared" si="37"/>
        <v>0</v>
      </c>
      <c r="AM222" s="70">
        <f t="shared" si="38"/>
        <v>0</v>
      </c>
      <c r="AN222" s="7" t="b">
        <f t="shared" si="39"/>
        <v>0</v>
      </c>
    </row>
    <row r="223" spans="1:40" x14ac:dyDescent="0.3">
      <c r="A223" s="50">
        <f>IF(D223="A",_xlfn.IFNA(INDEX(Data!$H$24:$J$28,MATCH('DL 1'!E224,Data!$G$24:$G$28,1),MATCH('DL 1'!D224,Data!$H$23:$J$23,1)),0),0)</f>
        <v>0</v>
      </c>
      <c r="B223">
        <f>IF('DL 1'!F224="Y",Q223,0)</f>
        <v>0</v>
      </c>
      <c r="C223" t="e">
        <f>_xlfn.IFNA(INDEX(Data!$H$24:$J$28,MATCH(#REF!,Data!$G$24:$G$28,1),MATCH(#REF!,Data!$H$23:$J$23,1)),0)</f>
        <v>#REF!</v>
      </c>
      <c r="D223" t="str">
        <f>RIGHT(TRIM('DL 1'!G224),1)</f>
        <v/>
      </c>
      <c r="E223" s="8">
        <f>'DL 1'!E224*'DL 1'!D224</f>
        <v>0</v>
      </c>
      <c r="F223" t="str">
        <f>_xlfn.IFNA(VLOOKUP(TRIM('DL 1'!G224),Data!$A:$C,3,0),"")</f>
        <v/>
      </c>
      <c r="G223" s="7">
        <f>'DL 1'!E224</f>
        <v>0</v>
      </c>
      <c r="H223" s="21">
        <f>_xlfn.IFNA(VLOOKUP(TRIM('DL 1'!G224),Data!$A:$D,4,0),0)</f>
        <v>0</v>
      </c>
      <c r="I223">
        <f>_xlfn.IFNA(INDEX(Data!$G$5:$K$10,MATCH('DL 1'!D224,Data!$F$5:$F$10,1),MATCH(_xlfn.SINGLE(#REF!),Data!$G$4:$K$4,1)),0)</f>
        <v>0</v>
      </c>
      <c r="J223">
        <f>_xlfn.IFNA(IF(VLOOKUP(TRIM('DL 1'!G224),Data!$A:$C,3,0)="ST1",H223*I223*G223,IF(VLOOKUP(TRIM('DL 1'!G224),Data!$A:$C,3,0)="IR0",H223*G223,MIN(H223:I223)*G223)),0)</f>
        <v>0</v>
      </c>
      <c r="K223" t="e">
        <f>_xlfn.IFNA(VLOOKUP(TRIM(#REF!),Data!$A:$D,4,0)*#REF!,0)</f>
        <v>#REF!</v>
      </c>
      <c r="L223">
        <f>IF(TRIM('DL 1'!G224)="EDCLNHT0IRNLI",20000,0)</f>
        <v>0</v>
      </c>
      <c r="M223">
        <f>IF(ISERROR(MATCH('DL 1'!A224,#REF!,0)),0,J223*2)</f>
        <v>0</v>
      </c>
      <c r="N223" t="e">
        <f>#REF!</f>
        <v>#REF!</v>
      </c>
      <c r="O223">
        <f>_xlfn.IFNA(VLOOKUP(RIGHT(VLOOKUP(TRIM('DL 1'!G224),Data!$A:$B,2,0),1),Data!$L$23:$M$30,2,0),0)</f>
        <v>0</v>
      </c>
      <c r="P223">
        <f t="shared" si="40"/>
        <v>0</v>
      </c>
      <c r="Q223" s="7" t="b">
        <f t="shared" si="31"/>
        <v>0</v>
      </c>
      <c r="R223" s="27">
        <f>INCENTIVE!$E$8</f>
        <v>130000000</v>
      </c>
      <c r="S223">
        <f>'DL 1'!D224</f>
        <v>0</v>
      </c>
      <c r="T223" t="str">
        <f t="shared" si="32"/>
        <v>1</v>
      </c>
      <c r="V223" t="str">
        <f t="shared" si="33"/>
        <v>1</v>
      </c>
      <c r="W223">
        <f t="shared" si="34"/>
        <v>0.25</v>
      </c>
      <c r="X223" s="7">
        <f>'DL 1'!E224</f>
        <v>0</v>
      </c>
      <c r="Y223" s="69">
        <f>'DL 1'!G224</f>
        <v>0</v>
      </c>
      <c r="AC223" t="str">
        <f>IFERROR(VLOOKUP(Y223,Data!$G$65:$K$79,2,0) *X223,"")</f>
        <v/>
      </c>
      <c r="AD223" s="7">
        <f t="shared" si="35"/>
        <v>0</v>
      </c>
      <c r="AE223">
        <f>'DL 1'!F224</f>
        <v>0</v>
      </c>
      <c r="AF223" t="str">
        <f>IFERROR(VLOOKUP(Y223,Data!$G$65:$K$79,4,0),"")</f>
        <v/>
      </c>
      <c r="AG223" s="51" t="e">
        <f>#REF!</f>
        <v>#REF!</v>
      </c>
      <c r="AK223">
        <f t="shared" si="36"/>
        <v>0</v>
      </c>
      <c r="AL223">
        <f t="shared" si="37"/>
        <v>0</v>
      </c>
      <c r="AM223" s="70">
        <f t="shared" si="38"/>
        <v>0</v>
      </c>
      <c r="AN223" s="7" t="b">
        <f t="shared" si="39"/>
        <v>0</v>
      </c>
    </row>
    <row r="224" spans="1:40" x14ac:dyDescent="0.3">
      <c r="A224" s="50">
        <f>IF(D224="A",_xlfn.IFNA(INDEX(Data!$H$24:$J$28,MATCH('DL 1'!E225,Data!$G$24:$G$28,1),MATCH('DL 1'!D225,Data!$H$23:$J$23,1)),0),0)</f>
        <v>0</v>
      </c>
      <c r="B224">
        <f>IF('DL 1'!F225="Y",Q224,0)</f>
        <v>0</v>
      </c>
      <c r="C224" t="e">
        <f>_xlfn.IFNA(INDEX(Data!$H$24:$J$28,MATCH(#REF!,Data!$G$24:$G$28,1),MATCH(#REF!,Data!$H$23:$J$23,1)),0)</f>
        <v>#REF!</v>
      </c>
      <c r="D224" t="str">
        <f>RIGHT(TRIM('DL 1'!G225),1)</f>
        <v/>
      </c>
      <c r="E224" s="8">
        <f>'DL 1'!E225*'DL 1'!D225</f>
        <v>0</v>
      </c>
      <c r="F224" t="str">
        <f>_xlfn.IFNA(VLOOKUP(TRIM('DL 1'!G225),Data!$A:$C,3,0),"")</f>
        <v/>
      </c>
      <c r="G224" s="7">
        <f>'DL 1'!E225</f>
        <v>0</v>
      </c>
      <c r="H224" s="21">
        <f>_xlfn.IFNA(VLOOKUP(TRIM('DL 1'!G225),Data!$A:$D,4,0),0)</f>
        <v>0</v>
      </c>
      <c r="I224">
        <f>_xlfn.IFNA(INDEX(Data!$G$5:$K$10,MATCH('DL 1'!D225,Data!$F$5:$F$10,1),MATCH(_xlfn.SINGLE(#REF!),Data!$G$4:$K$4,1)),0)</f>
        <v>0</v>
      </c>
      <c r="J224">
        <f>_xlfn.IFNA(IF(VLOOKUP(TRIM('DL 1'!G225),Data!$A:$C,3,0)="ST1",H224*I224*G224,IF(VLOOKUP(TRIM('DL 1'!G225),Data!$A:$C,3,0)="IR0",H224*G224,MIN(H224:I224)*G224)),0)</f>
        <v>0</v>
      </c>
      <c r="K224" t="e">
        <f>_xlfn.IFNA(VLOOKUP(TRIM(#REF!),Data!$A:$D,4,0)*#REF!,0)</f>
        <v>#REF!</v>
      </c>
      <c r="L224">
        <f>IF(TRIM('DL 1'!G225)="EDCLNHT0IRNLI",20000,0)</f>
        <v>0</v>
      </c>
      <c r="M224">
        <f>IF(ISERROR(MATCH('DL 1'!A225,#REF!,0)),0,J224*2)</f>
        <v>0</v>
      </c>
      <c r="N224" t="e">
        <f>#REF!</f>
        <v>#REF!</v>
      </c>
      <c r="O224">
        <f>_xlfn.IFNA(VLOOKUP(RIGHT(VLOOKUP(TRIM('DL 1'!G225),Data!$A:$B,2,0),1),Data!$L$23:$M$30,2,0),0)</f>
        <v>0</v>
      </c>
      <c r="P224">
        <f t="shared" si="40"/>
        <v>0</v>
      </c>
      <c r="Q224" s="7" t="b">
        <f t="shared" si="31"/>
        <v>0</v>
      </c>
      <c r="R224" s="27">
        <f>INCENTIVE!$E$8</f>
        <v>130000000</v>
      </c>
      <c r="S224">
        <f>'DL 1'!D225</f>
        <v>0</v>
      </c>
      <c r="T224" t="str">
        <f t="shared" si="32"/>
        <v>1</v>
      </c>
      <c r="V224" t="str">
        <f t="shared" si="33"/>
        <v>1</v>
      </c>
      <c r="W224">
        <f t="shared" si="34"/>
        <v>0.25</v>
      </c>
      <c r="X224" s="7">
        <f>'DL 1'!E225</f>
        <v>0</v>
      </c>
      <c r="Y224" s="69">
        <f>'DL 1'!G225</f>
        <v>0</v>
      </c>
      <c r="AC224" t="str">
        <f>IFERROR(VLOOKUP(Y224,Data!$G$65:$K$79,2,0) *X224,"")</f>
        <v/>
      </c>
      <c r="AD224" s="7">
        <f t="shared" si="35"/>
        <v>0</v>
      </c>
      <c r="AE224">
        <f>'DL 1'!F225</f>
        <v>0</v>
      </c>
      <c r="AF224" t="str">
        <f>IFERROR(VLOOKUP(Y224,Data!$G$65:$K$79,4,0),"")</f>
        <v/>
      </c>
      <c r="AG224" s="51" t="e">
        <f>#REF!</f>
        <v>#REF!</v>
      </c>
      <c r="AK224">
        <f t="shared" si="36"/>
        <v>0</v>
      </c>
      <c r="AL224">
        <f t="shared" si="37"/>
        <v>0</v>
      </c>
      <c r="AM224" s="70">
        <f t="shared" si="38"/>
        <v>0</v>
      </c>
      <c r="AN224" s="7" t="b">
        <f t="shared" si="39"/>
        <v>0</v>
      </c>
    </row>
    <row r="225" spans="1:40" x14ac:dyDescent="0.3">
      <c r="A225" s="50">
        <f>IF(D225="A",_xlfn.IFNA(INDEX(Data!$H$24:$J$28,MATCH('DL 1'!E226,Data!$G$24:$G$28,1),MATCH('DL 1'!D226,Data!$H$23:$J$23,1)),0),0)</f>
        <v>0</v>
      </c>
      <c r="B225">
        <f>IF('DL 1'!F226="Y",Q225,0)</f>
        <v>0</v>
      </c>
      <c r="C225" t="e">
        <f>_xlfn.IFNA(INDEX(Data!$H$24:$J$28,MATCH(#REF!,Data!$G$24:$G$28,1),MATCH(#REF!,Data!$H$23:$J$23,1)),0)</f>
        <v>#REF!</v>
      </c>
      <c r="D225" t="str">
        <f>RIGHT(TRIM('DL 1'!G226),1)</f>
        <v/>
      </c>
      <c r="E225" s="8">
        <f>'DL 1'!E226*'DL 1'!D226</f>
        <v>0</v>
      </c>
      <c r="F225" t="str">
        <f>_xlfn.IFNA(VLOOKUP(TRIM('DL 1'!G226),Data!$A:$C,3,0),"")</f>
        <v/>
      </c>
      <c r="G225" s="7">
        <f>'DL 1'!E226</f>
        <v>0</v>
      </c>
      <c r="H225" s="21">
        <f>_xlfn.IFNA(VLOOKUP(TRIM('DL 1'!G226),Data!$A:$D,4,0),0)</f>
        <v>0</v>
      </c>
      <c r="I225">
        <f>_xlfn.IFNA(INDEX(Data!$G$5:$K$10,MATCH('DL 1'!D226,Data!$F$5:$F$10,1),MATCH(_xlfn.SINGLE(#REF!),Data!$G$4:$K$4,1)),0)</f>
        <v>0</v>
      </c>
      <c r="J225">
        <f>_xlfn.IFNA(IF(VLOOKUP(TRIM('DL 1'!G226),Data!$A:$C,3,0)="ST1",H225*I225*G225,IF(VLOOKUP(TRIM('DL 1'!G226),Data!$A:$C,3,0)="IR0",H225*G225,MIN(H225:I225)*G225)),0)</f>
        <v>0</v>
      </c>
      <c r="K225" t="e">
        <f>_xlfn.IFNA(VLOOKUP(TRIM(#REF!),Data!$A:$D,4,0)*#REF!,0)</f>
        <v>#REF!</v>
      </c>
      <c r="L225">
        <f>IF(TRIM('DL 1'!G226)="EDCLNHT0IRNLI",20000,0)</f>
        <v>0</v>
      </c>
      <c r="M225">
        <f>IF(ISERROR(MATCH('DL 1'!A226,#REF!,0)),0,J225*2)</f>
        <v>0</v>
      </c>
      <c r="N225" t="e">
        <f>#REF!</f>
        <v>#REF!</v>
      </c>
      <c r="O225">
        <f>_xlfn.IFNA(VLOOKUP(RIGHT(VLOOKUP(TRIM('DL 1'!G226),Data!$A:$B,2,0),1),Data!$L$23:$M$30,2,0),0)</f>
        <v>0</v>
      </c>
      <c r="P225">
        <f t="shared" si="40"/>
        <v>0</v>
      </c>
      <c r="Q225" s="7" t="b">
        <f t="shared" si="31"/>
        <v>0</v>
      </c>
      <c r="R225" s="27">
        <f>INCENTIVE!$E$8</f>
        <v>130000000</v>
      </c>
      <c r="S225">
        <f>'DL 1'!D226</f>
        <v>0</v>
      </c>
      <c r="T225" t="str">
        <f t="shared" si="32"/>
        <v>1</v>
      </c>
      <c r="V225" t="str">
        <f t="shared" si="33"/>
        <v>1</v>
      </c>
      <c r="W225">
        <f t="shared" si="34"/>
        <v>0.25</v>
      </c>
      <c r="X225" s="7">
        <f>'DL 1'!E226</f>
        <v>0</v>
      </c>
      <c r="Y225" s="69">
        <f>'DL 1'!G226</f>
        <v>0</v>
      </c>
      <c r="AC225" t="str">
        <f>IFERROR(VLOOKUP(Y225,Data!$G$65:$K$79,2,0) *X225,"")</f>
        <v/>
      </c>
      <c r="AD225" s="7">
        <f t="shared" si="35"/>
        <v>0</v>
      </c>
      <c r="AE225">
        <f>'DL 1'!F226</f>
        <v>0</v>
      </c>
      <c r="AF225" t="str">
        <f>IFERROR(VLOOKUP(Y225,Data!$G$65:$K$79,4,0),"")</f>
        <v/>
      </c>
      <c r="AG225" s="51" t="e">
        <f>#REF!</f>
        <v>#REF!</v>
      </c>
      <c r="AK225">
        <f t="shared" si="36"/>
        <v>0</v>
      </c>
      <c r="AL225">
        <f t="shared" si="37"/>
        <v>0</v>
      </c>
      <c r="AM225" s="70">
        <f t="shared" si="38"/>
        <v>0</v>
      </c>
      <c r="AN225" s="7" t="b">
        <f t="shared" si="39"/>
        <v>0</v>
      </c>
    </row>
    <row r="226" spans="1:40" x14ac:dyDescent="0.3">
      <c r="A226" s="50">
        <f>IF(D226="A",_xlfn.IFNA(INDEX(Data!$H$24:$J$28,MATCH('DL 1'!E227,Data!$G$24:$G$28,1),MATCH('DL 1'!D227,Data!$H$23:$J$23,1)),0),0)</f>
        <v>0</v>
      </c>
      <c r="B226">
        <f>IF('DL 1'!F227="Y",Q226,0)</f>
        <v>0</v>
      </c>
      <c r="C226" t="e">
        <f>_xlfn.IFNA(INDEX(Data!$H$24:$J$28,MATCH(#REF!,Data!$G$24:$G$28,1),MATCH(#REF!,Data!$H$23:$J$23,1)),0)</f>
        <v>#REF!</v>
      </c>
      <c r="D226" t="str">
        <f>RIGHT(TRIM('DL 1'!G227),1)</f>
        <v/>
      </c>
      <c r="E226" s="8">
        <f>'DL 1'!E227*'DL 1'!D227</f>
        <v>0</v>
      </c>
      <c r="F226" t="str">
        <f>_xlfn.IFNA(VLOOKUP(TRIM('DL 1'!G227),Data!$A:$C,3,0),"")</f>
        <v/>
      </c>
      <c r="G226" s="7">
        <f>'DL 1'!E227</f>
        <v>0</v>
      </c>
      <c r="H226" s="21">
        <f>_xlfn.IFNA(VLOOKUP(TRIM('DL 1'!G227),Data!$A:$D,4,0),0)</f>
        <v>0</v>
      </c>
      <c r="I226">
        <f>_xlfn.IFNA(INDEX(Data!$G$5:$K$10,MATCH('DL 1'!D227,Data!$F$5:$F$10,1),MATCH(_xlfn.SINGLE(#REF!),Data!$G$4:$K$4,1)),0)</f>
        <v>0</v>
      </c>
      <c r="J226">
        <f>_xlfn.IFNA(IF(VLOOKUP(TRIM('DL 1'!G227),Data!$A:$C,3,0)="ST1",H226*I226*G226,IF(VLOOKUP(TRIM('DL 1'!G227),Data!$A:$C,3,0)="IR0",H226*G226,MIN(H226:I226)*G226)),0)</f>
        <v>0</v>
      </c>
      <c r="K226" t="e">
        <f>_xlfn.IFNA(VLOOKUP(TRIM(#REF!),Data!$A:$D,4,0)*#REF!,0)</f>
        <v>#REF!</v>
      </c>
      <c r="L226">
        <f>IF(TRIM('DL 1'!G227)="EDCLNHT0IRNLI",20000,0)</f>
        <v>0</v>
      </c>
      <c r="M226">
        <f>IF(ISERROR(MATCH('DL 1'!A227,#REF!,0)),0,J226*2)</f>
        <v>0</v>
      </c>
      <c r="N226" t="e">
        <f>#REF!</f>
        <v>#REF!</v>
      </c>
      <c r="O226">
        <f>_xlfn.IFNA(VLOOKUP(RIGHT(VLOOKUP(TRIM('DL 1'!G227),Data!$A:$B,2,0),1),Data!$L$23:$M$30,2,0),0)</f>
        <v>0</v>
      </c>
      <c r="P226">
        <f t="shared" si="40"/>
        <v>0</v>
      </c>
      <c r="Q226" s="7" t="b">
        <f t="shared" si="31"/>
        <v>0</v>
      </c>
      <c r="R226" s="27">
        <f>INCENTIVE!$E$8</f>
        <v>130000000</v>
      </c>
      <c r="S226">
        <f>'DL 1'!D227</f>
        <v>0</v>
      </c>
      <c r="T226" t="str">
        <f t="shared" si="32"/>
        <v>1</v>
      </c>
      <c r="V226" t="str">
        <f t="shared" si="33"/>
        <v>1</v>
      </c>
      <c r="W226">
        <f t="shared" si="34"/>
        <v>0.25</v>
      </c>
      <c r="X226" s="7">
        <f>'DL 1'!E227</f>
        <v>0</v>
      </c>
      <c r="Y226" s="69">
        <f>'DL 1'!G227</f>
        <v>0</v>
      </c>
      <c r="AC226" t="str">
        <f>IFERROR(VLOOKUP(Y226,Data!$G$65:$K$79,2,0) *X226,"")</f>
        <v/>
      </c>
      <c r="AD226" s="7">
        <f t="shared" si="35"/>
        <v>0</v>
      </c>
      <c r="AE226">
        <f>'DL 1'!F227</f>
        <v>0</v>
      </c>
      <c r="AF226" t="str">
        <f>IFERROR(VLOOKUP(Y226,Data!$G$65:$K$79,4,0),"")</f>
        <v/>
      </c>
      <c r="AG226" s="51" t="e">
        <f>#REF!</f>
        <v>#REF!</v>
      </c>
      <c r="AK226">
        <f t="shared" si="36"/>
        <v>0</v>
      </c>
      <c r="AL226">
        <f t="shared" si="37"/>
        <v>0</v>
      </c>
      <c r="AM226" s="70">
        <f t="shared" si="38"/>
        <v>0</v>
      </c>
      <c r="AN226" s="7" t="b">
        <f t="shared" si="39"/>
        <v>0</v>
      </c>
    </row>
    <row r="227" spans="1:40" x14ac:dyDescent="0.3">
      <c r="A227" s="50">
        <f>IF(D227="A",_xlfn.IFNA(INDEX(Data!$H$24:$J$28,MATCH('DL 1'!E228,Data!$G$24:$G$28,1),MATCH('DL 1'!D228,Data!$H$23:$J$23,1)),0),0)</f>
        <v>0</v>
      </c>
      <c r="B227">
        <f>IF('DL 1'!F228="Y",Q227,0)</f>
        <v>0</v>
      </c>
      <c r="C227" t="e">
        <f>_xlfn.IFNA(INDEX(Data!$H$24:$J$28,MATCH(#REF!,Data!$G$24:$G$28,1),MATCH(#REF!,Data!$H$23:$J$23,1)),0)</f>
        <v>#REF!</v>
      </c>
      <c r="D227" t="str">
        <f>RIGHT(TRIM('DL 1'!G228),1)</f>
        <v/>
      </c>
      <c r="E227" s="8">
        <f>'DL 1'!E228*'DL 1'!D228</f>
        <v>0</v>
      </c>
      <c r="F227" t="str">
        <f>_xlfn.IFNA(VLOOKUP(TRIM('DL 1'!G228),Data!$A:$C,3,0),"")</f>
        <v/>
      </c>
      <c r="G227" s="7">
        <f>'DL 1'!E228</f>
        <v>0</v>
      </c>
      <c r="H227" s="21">
        <f>_xlfn.IFNA(VLOOKUP(TRIM('DL 1'!G228),Data!$A:$D,4,0),0)</f>
        <v>0</v>
      </c>
      <c r="I227">
        <f>_xlfn.IFNA(INDEX(Data!$G$5:$K$10,MATCH('DL 1'!D228,Data!$F$5:$F$10,1),MATCH(_xlfn.SINGLE(#REF!),Data!$G$4:$K$4,1)),0)</f>
        <v>0</v>
      </c>
      <c r="J227">
        <f>_xlfn.IFNA(IF(VLOOKUP(TRIM('DL 1'!G228),Data!$A:$C,3,0)="ST1",H227*I227*G227,IF(VLOOKUP(TRIM('DL 1'!G228),Data!$A:$C,3,0)="IR0",H227*G227,MIN(H227:I227)*G227)),0)</f>
        <v>0</v>
      </c>
      <c r="K227" t="e">
        <f>_xlfn.IFNA(VLOOKUP(TRIM(#REF!),Data!$A:$D,4,0)*#REF!,0)</f>
        <v>#REF!</v>
      </c>
      <c r="L227">
        <f>IF(TRIM('DL 1'!G228)="EDCLNHT0IRNLI",20000,0)</f>
        <v>0</v>
      </c>
      <c r="M227">
        <f>IF(ISERROR(MATCH('DL 1'!A228,#REF!,0)),0,J227*2)</f>
        <v>0</v>
      </c>
      <c r="N227" t="e">
        <f>#REF!</f>
        <v>#REF!</v>
      </c>
      <c r="O227">
        <f>_xlfn.IFNA(VLOOKUP(RIGHT(VLOOKUP(TRIM('DL 1'!G228),Data!$A:$B,2,0),1),Data!$L$23:$M$30,2,0),0)</f>
        <v>0</v>
      </c>
      <c r="P227">
        <f t="shared" si="40"/>
        <v>0</v>
      </c>
      <c r="Q227" s="7" t="b">
        <f t="shared" si="31"/>
        <v>0</v>
      </c>
      <c r="R227" s="27">
        <f>INCENTIVE!$E$8</f>
        <v>130000000</v>
      </c>
      <c r="S227">
        <f>'DL 1'!D228</f>
        <v>0</v>
      </c>
      <c r="T227" t="str">
        <f t="shared" si="32"/>
        <v>1</v>
      </c>
      <c r="V227" t="str">
        <f t="shared" si="33"/>
        <v>1</v>
      </c>
      <c r="W227">
        <f t="shared" si="34"/>
        <v>0.25</v>
      </c>
      <c r="X227" s="7">
        <f>'DL 1'!E228</f>
        <v>0</v>
      </c>
      <c r="Y227" s="69">
        <f>'DL 1'!G228</f>
        <v>0</v>
      </c>
      <c r="AC227" t="str">
        <f>IFERROR(VLOOKUP(Y227,Data!$G$65:$K$79,2,0) *X227,"")</f>
        <v/>
      </c>
      <c r="AD227" s="7">
        <f t="shared" si="35"/>
        <v>0</v>
      </c>
      <c r="AE227">
        <f>'DL 1'!F228</f>
        <v>0</v>
      </c>
      <c r="AF227" t="str">
        <f>IFERROR(VLOOKUP(Y227,Data!$G$65:$K$79,4,0),"")</f>
        <v/>
      </c>
      <c r="AG227" s="51" t="e">
        <f>#REF!</f>
        <v>#REF!</v>
      </c>
      <c r="AK227">
        <f t="shared" si="36"/>
        <v>0</v>
      </c>
      <c r="AL227">
        <f t="shared" si="37"/>
        <v>0</v>
      </c>
      <c r="AM227" s="70">
        <f t="shared" si="38"/>
        <v>0</v>
      </c>
      <c r="AN227" s="7" t="b">
        <f t="shared" si="39"/>
        <v>0</v>
      </c>
    </row>
    <row r="228" spans="1:40" x14ac:dyDescent="0.3">
      <c r="A228" s="50">
        <f>IF(D228="A",_xlfn.IFNA(INDEX(Data!$H$24:$J$28,MATCH('DL 1'!E229,Data!$G$24:$G$28,1),MATCH('DL 1'!D229,Data!$H$23:$J$23,1)),0),0)</f>
        <v>0</v>
      </c>
      <c r="B228">
        <f>IF('DL 1'!F229="Y",Q228,0)</f>
        <v>0</v>
      </c>
      <c r="C228" t="e">
        <f>_xlfn.IFNA(INDEX(Data!$H$24:$J$28,MATCH(#REF!,Data!$G$24:$G$28,1),MATCH(#REF!,Data!$H$23:$J$23,1)),0)</f>
        <v>#REF!</v>
      </c>
      <c r="D228" t="str">
        <f>RIGHT(TRIM('DL 1'!G229),1)</f>
        <v/>
      </c>
      <c r="E228" s="8">
        <f>'DL 1'!E229*'DL 1'!D229</f>
        <v>0</v>
      </c>
      <c r="F228" t="str">
        <f>_xlfn.IFNA(VLOOKUP(TRIM('DL 1'!G229),Data!$A:$C,3,0),"")</f>
        <v/>
      </c>
      <c r="G228" s="7">
        <f>'DL 1'!E229</f>
        <v>0</v>
      </c>
      <c r="H228" s="21">
        <f>_xlfn.IFNA(VLOOKUP(TRIM('DL 1'!G229),Data!$A:$D,4,0),0)</f>
        <v>0</v>
      </c>
      <c r="I228">
        <f>_xlfn.IFNA(INDEX(Data!$G$5:$K$10,MATCH('DL 1'!D229,Data!$F$5:$F$10,1),MATCH(_xlfn.SINGLE(#REF!),Data!$G$4:$K$4,1)),0)</f>
        <v>0</v>
      </c>
      <c r="J228">
        <f>_xlfn.IFNA(IF(VLOOKUP(TRIM('DL 1'!G229),Data!$A:$C,3,0)="ST1",H228*I228*G228,IF(VLOOKUP(TRIM('DL 1'!G229),Data!$A:$C,3,0)="IR0",H228*G228,MIN(H228:I228)*G228)),0)</f>
        <v>0</v>
      </c>
      <c r="K228" t="e">
        <f>_xlfn.IFNA(VLOOKUP(TRIM(#REF!),Data!$A:$D,4,0)*#REF!,0)</f>
        <v>#REF!</v>
      </c>
      <c r="L228">
        <f>IF(TRIM('DL 1'!G229)="EDCLNHT0IRNLI",20000,0)</f>
        <v>0</v>
      </c>
      <c r="M228">
        <f>IF(ISERROR(MATCH('DL 1'!A229,#REF!,0)),0,J228*2)</f>
        <v>0</v>
      </c>
      <c r="N228" t="e">
        <f>#REF!</f>
        <v>#REF!</v>
      </c>
      <c r="O228">
        <f>_xlfn.IFNA(VLOOKUP(RIGHT(VLOOKUP(TRIM('DL 1'!G229),Data!$A:$B,2,0),1),Data!$L$23:$M$30,2,0),0)</f>
        <v>0</v>
      </c>
      <c r="P228">
        <f t="shared" si="40"/>
        <v>0</v>
      </c>
      <c r="Q228" s="7" t="b">
        <f t="shared" si="31"/>
        <v>0</v>
      </c>
      <c r="R228" s="27">
        <f>INCENTIVE!$E$8</f>
        <v>130000000</v>
      </c>
      <c r="S228">
        <f>'DL 1'!D229</f>
        <v>0</v>
      </c>
      <c r="T228" t="str">
        <f t="shared" si="32"/>
        <v>1</v>
      </c>
      <c r="V228" t="str">
        <f t="shared" si="33"/>
        <v>1</v>
      </c>
      <c r="W228">
        <f t="shared" si="34"/>
        <v>0.25</v>
      </c>
      <c r="X228" s="7">
        <f>'DL 1'!E229</f>
        <v>0</v>
      </c>
      <c r="Y228" s="69">
        <f>'DL 1'!G229</f>
        <v>0</v>
      </c>
      <c r="AC228" t="str">
        <f>IFERROR(VLOOKUP(Y228,Data!$G$65:$K$79,2,0) *X228,"")</f>
        <v/>
      </c>
      <c r="AD228" s="7">
        <f t="shared" si="35"/>
        <v>0</v>
      </c>
      <c r="AE228">
        <f>'DL 1'!F229</f>
        <v>0</v>
      </c>
      <c r="AF228" t="str">
        <f>IFERROR(VLOOKUP(Y228,Data!$G$65:$K$79,4,0),"")</f>
        <v/>
      </c>
      <c r="AG228" s="51" t="e">
        <f>#REF!</f>
        <v>#REF!</v>
      </c>
      <c r="AK228">
        <f t="shared" si="36"/>
        <v>0</v>
      </c>
      <c r="AL228">
        <f t="shared" si="37"/>
        <v>0</v>
      </c>
      <c r="AM228" s="70">
        <f t="shared" si="38"/>
        <v>0</v>
      </c>
      <c r="AN228" s="7" t="b">
        <f t="shared" si="39"/>
        <v>0</v>
      </c>
    </row>
    <row r="229" spans="1:40" x14ac:dyDescent="0.3">
      <c r="A229" s="50">
        <f>IF(D229="A",_xlfn.IFNA(INDEX(Data!$H$24:$J$28,MATCH('DL 1'!E230,Data!$G$24:$G$28,1),MATCH('DL 1'!D230,Data!$H$23:$J$23,1)),0),0)</f>
        <v>0</v>
      </c>
      <c r="B229">
        <f>IF('DL 1'!F230="Y",Q229,0)</f>
        <v>0</v>
      </c>
      <c r="C229" t="e">
        <f>_xlfn.IFNA(INDEX(Data!$H$24:$J$28,MATCH(#REF!,Data!$G$24:$G$28,1),MATCH(#REF!,Data!$H$23:$J$23,1)),0)</f>
        <v>#REF!</v>
      </c>
      <c r="D229" t="str">
        <f>RIGHT(TRIM('DL 1'!G230),1)</f>
        <v/>
      </c>
      <c r="E229" s="8">
        <f>'DL 1'!E230*'DL 1'!D230</f>
        <v>0</v>
      </c>
      <c r="F229" t="str">
        <f>_xlfn.IFNA(VLOOKUP(TRIM('DL 1'!G230),Data!$A:$C,3,0),"")</f>
        <v/>
      </c>
      <c r="G229" s="7">
        <f>'DL 1'!E230</f>
        <v>0</v>
      </c>
      <c r="H229" s="21">
        <f>_xlfn.IFNA(VLOOKUP(TRIM('DL 1'!G230),Data!$A:$D,4,0),0)</f>
        <v>0</v>
      </c>
      <c r="I229">
        <f>_xlfn.IFNA(INDEX(Data!$G$5:$K$10,MATCH('DL 1'!D230,Data!$F$5:$F$10,1),MATCH(_xlfn.SINGLE(#REF!),Data!$G$4:$K$4,1)),0)</f>
        <v>0</v>
      </c>
      <c r="J229">
        <f>_xlfn.IFNA(IF(VLOOKUP(TRIM('DL 1'!G230),Data!$A:$C,3,0)="ST1",H229*I229*G229,IF(VLOOKUP(TRIM('DL 1'!G230),Data!$A:$C,3,0)="IR0",H229*G229,MIN(H229:I229)*G229)),0)</f>
        <v>0</v>
      </c>
      <c r="K229" t="e">
        <f>_xlfn.IFNA(VLOOKUP(TRIM(#REF!),Data!$A:$D,4,0)*#REF!,0)</f>
        <v>#REF!</v>
      </c>
      <c r="L229">
        <f>IF(TRIM('DL 1'!G230)="EDCLNHT0IRNLI",20000,0)</f>
        <v>0</v>
      </c>
      <c r="M229">
        <f>IF(ISERROR(MATCH('DL 1'!A230,#REF!,0)),0,J229*2)</f>
        <v>0</v>
      </c>
      <c r="N229" t="e">
        <f>#REF!</f>
        <v>#REF!</v>
      </c>
      <c r="O229">
        <f>_xlfn.IFNA(VLOOKUP(RIGHT(VLOOKUP(TRIM('DL 1'!G230),Data!$A:$B,2,0),1),Data!$L$23:$M$30,2,0),0)</f>
        <v>0</v>
      </c>
      <c r="P229">
        <f t="shared" si="40"/>
        <v>0</v>
      </c>
      <c r="Q229" s="7" t="b">
        <f t="shared" si="31"/>
        <v>0</v>
      </c>
      <c r="R229" s="27">
        <f>INCENTIVE!$E$8</f>
        <v>130000000</v>
      </c>
      <c r="S229">
        <f>'DL 1'!D230</f>
        <v>0</v>
      </c>
      <c r="T229" t="str">
        <f t="shared" si="32"/>
        <v>1</v>
      </c>
      <c r="V229" t="str">
        <f t="shared" si="33"/>
        <v>1</v>
      </c>
      <c r="W229">
        <f t="shared" si="34"/>
        <v>0.25</v>
      </c>
      <c r="X229" s="7">
        <f>'DL 1'!E230</f>
        <v>0</v>
      </c>
      <c r="Y229" s="69">
        <f>'DL 1'!G230</f>
        <v>0</v>
      </c>
      <c r="AC229" t="str">
        <f>IFERROR(VLOOKUP(Y229,Data!$G$65:$K$79,2,0) *X229,"")</f>
        <v/>
      </c>
      <c r="AD229" s="7">
        <f t="shared" si="35"/>
        <v>0</v>
      </c>
      <c r="AE229">
        <f>'DL 1'!F230</f>
        <v>0</v>
      </c>
      <c r="AF229" t="str">
        <f>IFERROR(VLOOKUP(Y229,Data!$G$65:$K$79,4,0),"")</f>
        <v/>
      </c>
      <c r="AG229" s="51" t="e">
        <f>#REF!</f>
        <v>#REF!</v>
      </c>
      <c r="AK229">
        <f t="shared" si="36"/>
        <v>0</v>
      </c>
      <c r="AL229">
        <f t="shared" si="37"/>
        <v>0</v>
      </c>
      <c r="AM229" s="70">
        <f t="shared" si="38"/>
        <v>0</v>
      </c>
      <c r="AN229" s="7" t="b">
        <f t="shared" si="39"/>
        <v>0</v>
      </c>
    </row>
    <row r="230" spans="1:40" x14ac:dyDescent="0.3">
      <c r="A230" s="50">
        <f>IF(D230="A",_xlfn.IFNA(INDEX(Data!$H$24:$J$28,MATCH('DL 1'!E231,Data!$G$24:$G$28,1),MATCH('DL 1'!D231,Data!$H$23:$J$23,1)),0),0)</f>
        <v>0</v>
      </c>
      <c r="B230">
        <f>IF('DL 1'!F231="Y",Q230,0)</f>
        <v>0</v>
      </c>
      <c r="C230" t="e">
        <f>_xlfn.IFNA(INDEX(Data!$H$24:$J$28,MATCH(#REF!,Data!$G$24:$G$28,1),MATCH(#REF!,Data!$H$23:$J$23,1)),0)</f>
        <v>#REF!</v>
      </c>
      <c r="D230" t="str">
        <f>RIGHT(TRIM('DL 1'!G231),1)</f>
        <v/>
      </c>
      <c r="E230" s="8">
        <f>'DL 1'!E231*'DL 1'!D231</f>
        <v>0</v>
      </c>
      <c r="F230" t="str">
        <f>_xlfn.IFNA(VLOOKUP(TRIM('DL 1'!G231),Data!$A:$C,3,0),"")</f>
        <v/>
      </c>
      <c r="G230" s="7">
        <f>'DL 1'!E231</f>
        <v>0</v>
      </c>
      <c r="H230" s="21">
        <f>_xlfn.IFNA(VLOOKUP(TRIM('DL 1'!G231),Data!$A:$D,4,0),0)</f>
        <v>0</v>
      </c>
      <c r="I230">
        <f>_xlfn.IFNA(INDEX(Data!$G$5:$K$10,MATCH('DL 1'!D231,Data!$F$5:$F$10,1),MATCH(_xlfn.SINGLE(#REF!),Data!$G$4:$K$4,1)),0)</f>
        <v>0</v>
      </c>
      <c r="J230">
        <f>_xlfn.IFNA(IF(VLOOKUP(TRIM('DL 1'!G231),Data!$A:$C,3,0)="ST1",H230*I230*G230,IF(VLOOKUP(TRIM('DL 1'!G231),Data!$A:$C,3,0)="IR0",H230*G230,MIN(H230:I230)*G230)),0)</f>
        <v>0</v>
      </c>
      <c r="K230" t="e">
        <f>_xlfn.IFNA(VLOOKUP(TRIM(#REF!),Data!$A:$D,4,0)*#REF!,0)</f>
        <v>#REF!</v>
      </c>
      <c r="L230">
        <f>IF(TRIM('DL 1'!G231)="EDCLNHT0IRNLI",20000,0)</f>
        <v>0</v>
      </c>
      <c r="M230">
        <f>IF(ISERROR(MATCH('DL 1'!A231,#REF!,0)),0,J230*2)</f>
        <v>0</v>
      </c>
      <c r="N230" t="e">
        <f>#REF!</f>
        <v>#REF!</v>
      </c>
      <c r="O230">
        <f>_xlfn.IFNA(VLOOKUP(RIGHT(VLOOKUP(TRIM('DL 1'!G231),Data!$A:$B,2,0),1),Data!$L$23:$M$30,2,0),0)</f>
        <v>0</v>
      </c>
      <c r="P230">
        <f t="shared" si="40"/>
        <v>0</v>
      </c>
      <c r="Q230" s="7" t="b">
        <f t="shared" si="31"/>
        <v>0</v>
      </c>
      <c r="R230" s="27">
        <f>INCENTIVE!$E$8</f>
        <v>130000000</v>
      </c>
      <c r="S230">
        <f>'DL 1'!D231</f>
        <v>0</v>
      </c>
      <c r="T230" t="str">
        <f t="shared" si="32"/>
        <v>1</v>
      </c>
      <c r="V230" t="str">
        <f t="shared" si="33"/>
        <v>1</v>
      </c>
      <c r="W230">
        <f t="shared" si="34"/>
        <v>0.25</v>
      </c>
      <c r="X230" s="7">
        <f>'DL 1'!E231</f>
        <v>0</v>
      </c>
      <c r="Y230" s="69">
        <f>'DL 1'!G231</f>
        <v>0</v>
      </c>
      <c r="AC230" t="str">
        <f>IFERROR(VLOOKUP(Y230,Data!$G$65:$K$79,2,0) *X230,"")</f>
        <v/>
      </c>
      <c r="AD230" s="7">
        <f t="shared" si="35"/>
        <v>0</v>
      </c>
      <c r="AE230">
        <f>'DL 1'!F231</f>
        <v>0</v>
      </c>
      <c r="AF230" t="str">
        <f>IFERROR(VLOOKUP(Y230,Data!$G$65:$K$79,4,0),"")</f>
        <v/>
      </c>
      <c r="AG230" s="51" t="e">
        <f>#REF!</f>
        <v>#REF!</v>
      </c>
      <c r="AK230">
        <f t="shared" si="36"/>
        <v>0</v>
      </c>
      <c r="AL230">
        <f t="shared" si="37"/>
        <v>0</v>
      </c>
      <c r="AM230" s="70">
        <f t="shared" si="38"/>
        <v>0</v>
      </c>
      <c r="AN230" s="7" t="b">
        <f t="shared" si="39"/>
        <v>0</v>
      </c>
    </row>
    <row r="231" spans="1:40" x14ac:dyDescent="0.3">
      <c r="A231" s="50">
        <f>IF(D231="A",_xlfn.IFNA(INDEX(Data!$H$24:$J$28,MATCH('DL 1'!E232,Data!$G$24:$G$28,1),MATCH('DL 1'!D232,Data!$H$23:$J$23,1)),0),0)</f>
        <v>0</v>
      </c>
      <c r="B231">
        <f>IF('DL 1'!F232="Y",Q231,0)</f>
        <v>0</v>
      </c>
      <c r="C231" t="e">
        <f>_xlfn.IFNA(INDEX(Data!$H$24:$J$28,MATCH(#REF!,Data!$G$24:$G$28,1),MATCH(#REF!,Data!$H$23:$J$23,1)),0)</f>
        <v>#REF!</v>
      </c>
      <c r="D231" t="str">
        <f>RIGHT(TRIM('DL 1'!G232),1)</f>
        <v/>
      </c>
      <c r="E231" s="8">
        <f>'DL 1'!E232*'DL 1'!D232</f>
        <v>0</v>
      </c>
      <c r="F231" t="str">
        <f>_xlfn.IFNA(VLOOKUP(TRIM('DL 1'!G232),Data!$A:$C,3,0),"")</f>
        <v/>
      </c>
      <c r="G231" s="7">
        <f>'DL 1'!E232</f>
        <v>0</v>
      </c>
      <c r="H231" s="21">
        <f>_xlfn.IFNA(VLOOKUP(TRIM('DL 1'!G232),Data!$A:$D,4,0),0)</f>
        <v>0</v>
      </c>
      <c r="I231">
        <f>_xlfn.IFNA(INDEX(Data!$G$5:$K$10,MATCH('DL 1'!D232,Data!$F$5:$F$10,1),MATCH(_xlfn.SINGLE(#REF!),Data!$G$4:$K$4,1)),0)</f>
        <v>0</v>
      </c>
      <c r="J231">
        <f>_xlfn.IFNA(IF(VLOOKUP(TRIM('DL 1'!G232),Data!$A:$C,3,0)="ST1",H231*I231*G231,IF(VLOOKUP(TRIM('DL 1'!G232),Data!$A:$C,3,0)="IR0",H231*G231,MIN(H231:I231)*G231)),0)</f>
        <v>0</v>
      </c>
      <c r="K231" t="e">
        <f>_xlfn.IFNA(VLOOKUP(TRIM(#REF!),Data!$A:$D,4,0)*#REF!,0)</f>
        <v>#REF!</v>
      </c>
      <c r="L231">
        <f>IF(TRIM('DL 1'!G232)="EDCLNHT0IRNLI",20000,0)</f>
        <v>0</v>
      </c>
      <c r="M231">
        <f>IF(ISERROR(MATCH('DL 1'!A232,#REF!,0)),0,J231*2)</f>
        <v>0</v>
      </c>
      <c r="N231" t="e">
        <f>#REF!</f>
        <v>#REF!</v>
      </c>
      <c r="O231">
        <f>_xlfn.IFNA(VLOOKUP(RIGHT(VLOOKUP(TRIM('DL 1'!G232),Data!$A:$B,2,0),1),Data!$L$23:$M$30,2,0),0)</f>
        <v>0</v>
      </c>
      <c r="P231">
        <f t="shared" si="40"/>
        <v>0</v>
      </c>
      <c r="Q231" s="7" t="b">
        <f t="shared" si="31"/>
        <v>0</v>
      </c>
      <c r="R231" s="27">
        <f>INCENTIVE!$E$8</f>
        <v>130000000</v>
      </c>
      <c r="S231">
        <f>'DL 1'!D232</f>
        <v>0</v>
      </c>
      <c r="T231" t="str">
        <f t="shared" si="32"/>
        <v>1</v>
      </c>
      <c r="V231" t="str">
        <f t="shared" si="33"/>
        <v>1</v>
      </c>
      <c r="W231">
        <f t="shared" si="34"/>
        <v>0.25</v>
      </c>
      <c r="X231" s="7">
        <f>'DL 1'!E232</f>
        <v>0</v>
      </c>
      <c r="Y231" s="69">
        <f>'DL 1'!G232</f>
        <v>0</v>
      </c>
      <c r="AC231" t="str">
        <f>IFERROR(VLOOKUP(Y231,Data!$G$65:$K$79,2,0) *X231,"")</f>
        <v/>
      </c>
      <c r="AD231" s="7">
        <f t="shared" si="35"/>
        <v>0</v>
      </c>
      <c r="AE231">
        <f>'DL 1'!F232</f>
        <v>0</v>
      </c>
      <c r="AF231" t="str">
        <f>IFERROR(VLOOKUP(Y231,Data!$G$65:$K$79,4,0),"")</f>
        <v/>
      </c>
      <c r="AG231" s="51" t="e">
        <f>#REF!</f>
        <v>#REF!</v>
      </c>
      <c r="AK231">
        <f t="shared" si="36"/>
        <v>0</v>
      </c>
      <c r="AL231">
        <f t="shared" si="37"/>
        <v>0</v>
      </c>
      <c r="AM231" s="70">
        <f t="shared" si="38"/>
        <v>0</v>
      </c>
      <c r="AN231" s="7" t="b">
        <f t="shared" si="39"/>
        <v>0</v>
      </c>
    </row>
    <row r="232" spans="1:40" x14ac:dyDescent="0.3">
      <c r="A232" s="50">
        <f>IF(D232="A",_xlfn.IFNA(INDEX(Data!$H$24:$J$28,MATCH('DL 1'!E233,Data!$G$24:$G$28,1),MATCH('DL 1'!D233,Data!$H$23:$J$23,1)),0),0)</f>
        <v>0</v>
      </c>
      <c r="B232">
        <f>IF('DL 1'!F233="Y",Q232,0)</f>
        <v>0</v>
      </c>
      <c r="C232" t="e">
        <f>_xlfn.IFNA(INDEX(Data!$H$24:$J$28,MATCH(#REF!,Data!$G$24:$G$28,1),MATCH(#REF!,Data!$H$23:$J$23,1)),0)</f>
        <v>#REF!</v>
      </c>
      <c r="D232" t="str">
        <f>RIGHT(TRIM('DL 1'!G233),1)</f>
        <v/>
      </c>
      <c r="E232" s="8">
        <f>'DL 1'!E233*'DL 1'!D233</f>
        <v>0</v>
      </c>
      <c r="F232" t="str">
        <f>_xlfn.IFNA(VLOOKUP(TRIM('DL 1'!G233),Data!$A:$C,3,0),"")</f>
        <v/>
      </c>
      <c r="G232" s="7">
        <f>'DL 1'!E233</f>
        <v>0</v>
      </c>
      <c r="H232" s="21">
        <f>_xlfn.IFNA(VLOOKUP(TRIM('DL 1'!G233),Data!$A:$D,4,0),0)</f>
        <v>0</v>
      </c>
      <c r="I232">
        <f>_xlfn.IFNA(INDEX(Data!$G$5:$K$10,MATCH('DL 1'!D233,Data!$F$5:$F$10,1),MATCH(_xlfn.SINGLE(#REF!),Data!$G$4:$K$4,1)),0)</f>
        <v>0</v>
      </c>
      <c r="J232">
        <f>_xlfn.IFNA(IF(VLOOKUP(TRIM('DL 1'!G233),Data!$A:$C,3,0)="ST1",H232*I232*G232,IF(VLOOKUP(TRIM('DL 1'!G233),Data!$A:$C,3,0)="IR0",H232*G232,MIN(H232:I232)*G232)),0)</f>
        <v>0</v>
      </c>
      <c r="K232" t="e">
        <f>_xlfn.IFNA(VLOOKUP(TRIM(#REF!),Data!$A:$D,4,0)*#REF!,0)</f>
        <v>#REF!</v>
      </c>
      <c r="L232">
        <f>IF(TRIM('DL 1'!G233)="EDCLNHT0IRNLI",20000,0)</f>
        <v>0</v>
      </c>
      <c r="M232">
        <f>IF(ISERROR(MATCH('DL 1'!A233,#REF!,0)),0,J232*2)</f>
        <v>0</v>
      </c>
      <c r="N232" t="e">
        <f>#REF!</f>
        <v>#REF!</v>
      </c>
      <c r="O232">
        <f>_xlfn.IFNA(VLOOKUP(RIGHT(VLOOKUP(TRIM('DL 1'!G233),Data!$A:$B,2,0),1),Data!$L$23:$M$30,2,0),0)</f>
        <v>0</v>
      </c>
      <c r="P232">
        <f t="shared" si="40"/>
        <v>0</v>
      </c>
      <c r="Q232" s="7" t="b">
        <f t="shared" si="31"/>
        <v>0</v>
      </c>
      <c r="R232" s="27">
        <f>INCENTIVE!$E$8</f>
        <v>130000000</v>
      </c>
      <c r="S232">
        <f>'DL 1'!D233</f>
        <v>0</v>
      </c>
      <c r="T232" t="str">
        <f t="shared" si="32"/>
        <v>1</v>
      </c>
      <c r="V232" t="str">
        <f t="shared" si="33"/>
        <v>1</v>
      </c>
      <c r="W232">
        <f t="shared" si="34"/>
        <v>0.25</v>
      </c>
      <c r="X232" s="7">
        <f>'DL 1'!E233</f>
        <v>0</v>
      </c>
      <c r="Y232" s="69">
        <f>'DL 1'!G233</f>
        <v>0</v>
      </c>
      <c r="AC232" t="str">
        <f>IFERROR(VLOOKUP(Y232,Data!$G$65:$K$79,2,0) *X232,"")</f>
        <v/>
      </c>
      <c r="AD232" s="7">
        <f t="shared" si="35"/>
        <v>0</v>
      </c>
      <c r="AE232">
        <f>'DL 1'!F233</f>
        <v>0</v>
      </c>
      <c r="AF232" t="str">
        <f>IFERROR(VLOOKUP(Y232,Data!$G$65:$K$79,4,0),"")</f>
        <v/>
      </c>
      <c r="AG232" s="51" t="e">
        <f>#REF!</f>
        <v>#REF!</v>
      </c>
      <c r="AK232">
        <f t="shared" si="36"/>
        <v>0</v>
      </c>
      <c r="AL232">
        <f t="shared" si="37"/>
        <v>0</v>
      </c>
      <c r="AM232" s="70">
        <f t="shared" si="38"/>
        <v>0</v>
      </c>
      <c r="AN232" s="7" t="b">
        <f t="shared" si="39"/>
        <v>0</v>
      </c>
    </row>
    <row r="233" spans="1:40" x14ac:dyDescent="0.3">
      <c r="A233" s="50">
        <f>IF(D233="A",_xlfn.IFNA(INDEX(Data!$H$24:$J$28,MATCH('DL 1'!E234,Data!$G$24:$G$28,1),MATCH('DL 1'!D234,Data!$H$23:$J$23,1)),0),0)</f>
        <v>0</v>
      </c>
      <c r="B233">
        <f>IF('DL 1'!F234="Y",Q233,0)</f>
        <v>0</v>
      </c>
      <c r="C233" t="e">
        <f>_xlfn.IFNA(INDEX(Data!$H$24:$J$28,MATCH(#REF!,Data!$G$24:$G$28,1),MATCH(#REF!,Data!$H$23:$J$23,1)),0)</f>
        <v>#REF!</v>
      </c>
      <c r="D233" t="str">
        <f>RIGHT(TRIM('DL 1'!G234),1)</f>
        <v/>
      </c>
      <c r="E233" s="8">
        <f>'DL 1'!E234*'DL 1'!D234</f>
        <v>0</v>
      </c>
      <c r="F233" t="str">
        <f>_xlfn.IFNA(VLOOKUP(TRIM('DL 1'!G234),Data!$A:$C,3,0),"")</f>
        <v/>
      </c>
      <c r="G233" s="7">
        <f>'DL 1'!E234</f>
        <v>0</v>
      </c>
      <c r="H233" s="21">
        <f>_xlfn.IFNA(VLOOKUP(TRIM('DL 1'!G234),Data!$A:$D,4,0),0)</f>
        <v>0</v>
      </c>
      <c r="I233">
        <f>_xlfn.IFNA(INDEX(Data!$G$5:$K$10,MATCH('DL 1'!D234,Data!$F$5:$F$10,1),MATCH(_xlfn.SINGLE(#REF!),Data!$G$4:$K$4,1)),0)</f>
        <v>0</v>
      </c>
      <c r="J233">
        <f>_xlfn.IFNA(IF(VLOOKUP(TRIM('DL 1'!G234),Data!$A:$C,3,0)="ST1",H233*I233*G233,IF(VLOOKUP(TRIM('DL 1'!G234),Data!$A:$C,3,0)="IR0",H233*G233,MIN(H233:I233)*G233)),0)</f>
        <v>0</v>
      </c>
      <c r="K233" t="e">
        <f>_xlfn.IFNA(VLOOKUP(TRIM(#REF!),Data!$A:$D,4,0)*#REF!,0)</f>
        <v>#REF!</v>
      </c>
      <c r="L233">
        <f>IF(TRIM('DL 1'!G234)="EDCLNHT0IRNLI",20000,0)</f>
        <v>0</v>
      </c>
      <c r="M233">
        <f>IF(ISERROR(MATCH('DL 1'!A234,#REF!,0)),0,J233*2)</f>
        <v>0</v>
      </c>
      <c r="N233" t="e">
        <f>#REF!</f>
        <v>#REF!</v>
      </c>
      <c r="O233">
        <f>_xlfn.IFNA(VLOOKUP(RIGHT(VLOOKUP(TRIM('DL 1'!G234),Data!$A:$B,2,0),1),Data!$L$23:$M$30,2,0),0)</f>
        <v>0</v>
      </c>
      <c r="P233">
        <f t="shared" si="40"/>
        <v>0</v>
      </c>
      <c r="Q233" s="7" t="b">
        <f t="shared" si="31"/>
        <v>0</v>
      </c>
      <c r="R233" s="27">
        <f>INCENTIVE!$E$8</f>
        <v>130000000</v>
      </c>
      <c r="S233">
        <f>'DL 1'!D234</f>
        <v>0</v>
      </c>
      <c r="T233" t="str">
        <f t="shared" si="32"/>
        <v>1</v>
      </c>
      <c r="V233" t="str">
        <f t="shared" si="33"/>
        <v>1</v>
      </c>
      <c r="W233">
        <f t="shared" si="34"/>
        <v>0.25</v>
      </c>
      <c r="X233" s="7">
        <f>'DL 1'!E234</f>
        <v>0</v>
      </c>
      <c r="Y233" s="69">
        <f>'DL 1'!G234</f>
        <v>0</v>
      </c>
      <c r="AC233" t="str">
        <f>IFERROR(VLOOKUP(Y233,Data!$G$65:$K$79,2,0) *X233,"")</f>
        <v/>
      </c>
      <c r="AD233" s="7">
        <f t="shared" si="35"/>
        <v>0</v>
      </c>
      <c r="AE233">
        <f>'DL 1'!F234</f>
        <v>0</v>
      </c>
      <c r="AF233" t="str">
        <f>IFERROR(VLOOKUP(Y233,Data!$G$65:$K$79,4,0),"")</f>
        <v/>
      </c>
      <c r="AG233" s="51" t="e">
        <f>#REF!</f>
        <v>#REF!</v>
      </c>
      <c r="AK233">
        <f t="shared" si="36"/>
        <v>0</v>
      </c>
      <c r="AL233">
        <f t="shared" si="37"/>
        <v>0</v>
      </c>
      <c r="AM233" s="70">
        <f t="shared" si="38"/>
        <v>0</v>
      </c>
      <c r="AN233" s="7" t="b">
        <f t="shared" si="39"/>
        <v>0</v>
      </c>
    </row>
    <row r="234" spans="1:40" x14ac:dyDescent="0.3">
      <c r="A234" s="50">
        <f>IF(D234="A",_xlfn.IFNA(INDEX(Data!$H$24:$J$28,MATCH('DL 1'!E235,Data!$G$24:$G$28,1),MATCH('DL 1'!D235,Data!$H$23:$J$23,1)),0),0)</f>
        <v>0</v>
      </c>
      <c r="B234">
        <f>IF('DL 1'!F235="Y",Q234,0)</f>
        <v>0</v>
      </c>
      <c r="C234" t="e">
        <f>_xlfn.IFNA(INDEX(Data!$H$24:$J$28,MATCH(#REF!,Data!$G$24:$G$28,1),MATCH(#REF!,Data!$H$23:$J$23,1)),0)</f>
        <v>#REF!</v>
      </c>
      <c r="D234" t="str">
        <f>RIGHT(TRIM('DL 1'!G235),1)</f>
        <v/>
      </c>
      <c r="E234" s="8">
        <f>'DL 1'!E235*'DL 1'!D235</f>
        <v>0</v>
      </c>
      <c r="F234" t="str">
        <f>_xlfn.IFNA(VLOOKUP(TRIM('DL 1'!G235),Data!$A:$C,3,0),"")</f>
        <v/>
      </c>
      <c r="G234" s="7">
        <f>'DL 1'!E235</f>
        <v>0</v>
      </c>
      <c r="H234" s="21">
        <f>_xlfn.IFNA(VLOOKUP(TRIM('DL 1'!G235),Data!$A:$D,4,0),0)</f>
        <v>0</v>
      </c>
      <c r="I234">
        <f>_xlfn.IFNA(INDEX(Data!$G$5:$K$10,MATCH('DL 1'!D235,Data!$F$5:$F$10,1),MATCH(_xlfn.SINGLE(#REF!),Data!$G$4:$K$4,1)),0)</f>
        <v>0</v>
      </c>
      <c r="J234">
        <f>_xlfn.IFNA(IF(VLOOKUP(TRIM('DL 1'!G235),Data!$A:$C,3,0)="ST1",H234*I234*G234,IF(VLOOKUP(TRIM('DL 1'!G235),Data!$A:$C,3,0)="IR0",H234*G234,MIN(H234:I234)*G234)),0)</f>
        <v>0</v>
      </c>
      <c r="K234" t="e">
        <f>_xlfn.IFNA(VLOOKUP(TRIM(#REF!),Data!$A:$D,4,0)*#REF!,0)</f>
        <v>#REF!</v>
      </c>
      <c r="L234">
        <f>IF(TRIM('DL 1'!G235)="EDCLNHT0IRNLI",20000,0)</f>
        <v>0</v>
      </c>
      <c r="M234">
        <f>IF(ISERROR(MATCH('DL 1'!A235,#REF!,0)),0,J234*2)</f>
        <v>0</v>
      </c>
      <c r="N234" t="e">
        <f>#REF!</f>
        <v>#REF!</v>
      </c>
      <c r="O234">
        <f>_xlfn.IFNA(VLOOKUP(RIGHT(VLOOKUP(TRIM('DL 1'!G235),Data!$A:$B,2,0),1),Data!$L$23:$M$30,2,0),0)</f>
        <v>0</v>
      </c>
      <c r="P234">
        <f t="shared" si="40"/>
        <v>0</v>
      </c>
      <c r="Q234" s="7" t="b">
        <f t="shared" si="31"/>
        <v>0</v>
      </c>
      <c r="R234" s="27">
        <f>INCENTIVE!$E$8</f>
        <v>130000000</v>
      </c>
      <c r="S234">
        <f>'DL 1'!D235</f>
        <v>0</v>
      </c>
      <c r="T234" t="str">
        <f t="shared" si="32"/>
        <v>1</v>
      </c>
      <c r="V234" t="str">
        <f t="shared" si="33"/>
        <v>1</v>
      </c>
      <c r="W234">
        <f t="shared" si="34"/>
        <v>0.25</v>
      </c>
      <c r="X234" s="7">
        <f>'DL 1'!E235</f>
        <v>0</v>
      </c>
      <c r="Y234" s="69">
        <f>'DL 1'!G235</f>
        <v>0</v>
      </c>
      <c r="AC234" t="str">
        <f>IFERROR(VLOOKUP(Y234,Data!$G$65:$K$79,2,0) *X234,"")</f>
        <v/>
      </c>
      <c r="AD234" s="7">
        <f t="shared" si="35"/>
        <v>0</v>
      </c>
      <c r="AE234">
        <f>'DL 1'!F235</f>
        <v>0</v>
      </c>
      <c r="AF234" t="str">
        <f>IFERROR(VLOOKUP(Y234,Data!$G$65:$K$79,4,0),"")</f>
        <v/>
      </c>
      <c r="AG234" s="51" t="e">
        <f>#REF!</f>
        <v>#REF!</v>
      </c>
      <c r="AK234">
        <f t="shared" si="36"/>
        <v>0</v>
      </c>
      <c r="AL234">
        <f t="shared" si="37"/>
        <v>0</v>
      </c>
      <c r="AM234" s="70">
        <f t="shared" si="38"/>
        <v>0</v>
      </c>
      <c r="AN234" s="7" t="b">
        <f t="shared" si="39"/>
        <v>0</v>
      </c>
    </row>
    <row r="235" spans="1:40" x14ac:dyDescent="0.3">
      <c r="A235" s="50">
        <f>IF(D235="A",_xlfn.IFNA(INDEX(Data!$H$24:$J$28,MATCH('DL 1'!E236,Data!$G$24:$G$28,1),MATCH('DL 1'!D236,Data!$H$23:$J$23,1)),0),0)</f>
        <v>0</v>
      </c>
      <c r="B235">
        <f>IF('DL 1'!F236="Y",Q235,0)</f>
        <v>0</v>
      </c>
      <c r="C235" t="e">
        <f>_xlfn.IFNA(INDEX(Data!$H$24:$J$28,MATCH(#REF!,Data!$G$24:$G$28,1),MATCH(#REF!,Data!$H$23:$J$23,1)),0)</f>
        <v>#REF!</v>
      </c>
      <c r="D235" t="str">
        <f>RIGHT(TRIM('DL 1'!G236),1)</f>
        <v/>
      </c>
      <c r="E235" s="8">
        <f>'DL 1'!E236*'DL 1'!D236</f>
        <v>0</v>
      </c>
      <c r="F235" t="str">
        <f>_xlfn.IFNA(VLOOKUP(TRIM('DL 1'!G236),Data!$A:$C,3,0),"")</f>
        <v/>
      </c>
      <c r="G235" s="7">
        <f>'DL 1'!E236</f>
        <v>0</v>
      </c>
      <c r="H235" s="21">
        <f>_xlfn.IFNA(VLOOKUP(TRIM('DL 1'!G236),Data!$A:$D,4,0),0)</f>
        <v>0</v>
      </c>
      <c r="I235">
        <f>_xlfn.IFNA(INDEX(Data!$G$5:$K$10,MATCH('DL 1'!D236,Data!$F$5:$F$10,1),MATCH(_xlfn.SINGLE(#REF!),Data!$G$4:$K$4,1)),0)</f>
        <v>0</v>
      </c>
      <c r="J235">
        <f>_xlfn.IFNA(IF(VLOOKUP(TRIM('DL 1'!G236),Data!$A:$C,3,0)="ST1",H235*I235*G235,IF(VLOOKUP(TRIM('DL 1'!G236),Data!$A:$C,3,0)="IR0",H235*G235,MIN(H235:I235)*G235)),0)</f>
        <v>0</v>
      </c>
      <c r="K235" t="e">
        <f>_xlfn.IFNA(VLOOKUP(TRIM(#REF!),Data!$A:$D,4,0)*#REF!,0)</f>
        <v>#REF!</v>
      </c>
      <c r="L235">
        <f>IF(TRIM('DL 1'!G236)="EDCLNHT0IRNLI",20000,0)</f>
        <v>0</v>
      </c>
      <c r="M235">
        <f>IF(ISERROR(MATCH('DL 1'!A236,#REF!,0)),0,J235*2)</f>
        <v>0</v>
      </c>
      <c r="N235" t="e">
        <f>#REF!</f>
        <v>#REF!</v>
      </c>
      <c r="O235">
        <f>_xlfn.IFNA(VLOOKUP(RIGHT(VLOOKUP(TRIM('DL 1'!G236),Data!$A:$B,2,0),1),Data!$L$23:$M$30,2,0),0)</f>
        <v>0</v>
      </c>
      <c r="P235">
        <f t="shared" si="40"/>
        <v>0</v>
      </c>
      <c r="Q235" s="7" t="b">
        <f t="shared" si="31"/>
        <v>0</v>
      </c>
      <c r="R235" s="27">
        <f>INCENTIVE!$E$8</f>
        <v>130000000</v>
      </c>
      <c r="S235">
        <f>'DL 1'!D236</f>
        <v>0</v>
      </c>
      <c r="T235" t="str">
        <f t="shared" si="32"/>
        <v>1</v>
      </c>
      <c r="V235" t="str">
        <f t="shared" si="33"/>
        <v>1</v>
      </c>
      <c r="W235">
        <f t="shared" si="34"/>
        <v>0.25</v>
      </c>
      <c r="X235" s="7">
        <f>'DL 1'!E236</f>
        <v>0</v>
      </c>
      <c r="Y235" s="69">
        <f>'DL 1'!G236</f>
        <v>0</v>
      </c>
      <c r="AC235" t="str">
        <f>IFERROR(VLOOKUP(Y235,Data!$G$65:$K$79,2,0) *X235,"")</f>
        <v/>
      </c>
      <c r="AD235" s="7">
        <f t="shared" si="35"/>
        <v>0</v>
      </c>
      <c r="AE235">
        <f>'DL 1'!F236</f>
        <v>0</v>
      </c>
      <c r="AF235" t="str">
        <f>IFERROR(VLOOKUP(Y235,Data!$G$65:$K$79,4,0),"")</f>
        <v/>
      </c>
      <c r="AG235" s="51" t="e">
        <f>#REF!</f>
        <v>#REF!</v>
      </c>
      <c r="AK235">
        <f t="shared" si="36"/>
        <v>0</v>
      </c>
      <c r="AL235">
        <f t="shared" si="37"/>
        <v>0</v>
      </c>
      <c r="AM235" s="70">
        <f t="shared" si="38"/>
        <v>0</v>
      </c>
      <c r="AN235" s="7" t="b">
        <f t="shared" si="39"/>
        <v>0</v>
      </c>
    </row>
    <row r="236" spans="1:40" x14ac:dyDescent="0.3">
      <c r="A236" s="50">
        <f>IF(D236="A",_xlfn.IFNA(INDEX(Data!$H$24:$J$28,MATCH('DL 1'!E237,Data!$G$24:$G$28,1),MATCH('DL 1'!D237,Data!$H$23:$J$23,1)),0),0)</f>
        <v>0</v>
      </c>
      <c r="B236">
        <f>IF('DL 1'!F237="Y",Q236,0)</f>
        <v>0</v>
      </c>
      <c r="C236" t="e">
        <f>_xlfn.IFNA(INDEX(Data!$H$24:$J$28,MATCH(#REF!,Data!$G$24:$G$28,1),MATCH(#REF!,Data!$H$23:$J$23,1)),0)</f>
        <v>#REF!</v>
      </c>
      <c r="D236" t="str">
        <f>RIGHT(TRIM('DL 1'!G237),1)</f>
        <v/>
      </c>
      <c r="E236" s="8">
        <f>'DL 1'!E237*'DL 1'!D237</f>
        <v>0</v>
      </c>
      <c r="F236" t="str">
        <f>_xlfn.IFNA(VLOOKUP(TRIM('DL 1'!G237),Data!$A:$C,3,0),"")</f>
        <v/>
      </c>
      <c r="G236" s="7">
        <f>'DL 1'!E237</f>
        <v>0</v>
      </c>
      <c r="H236" s="21">
        <f>_xlfn.IFNA(VLOOKUP(TRIM('DL 1'!G237),Data!$A:$D,4,0),0)</f>
        <v>0</v>
      </c>
      <c r="I236">
        <f>_xlfn.IFNA(INDEX(Data!$G$5:$K$10,MATCH('DL 1'!D237,Data!$F$5:$F$10,1),MATCH(_xlfn.SINGLE(#REF!),Data!$G$4:$K$4,1)),0)</f>
        <v>0</v>
      </c>
      <c r="J236">
        <f>_xlfn.IFNA(IF(VLOOKUP(TRIM('DL 1'!G237),Data!$A:$C,3,0)="ST1",H236*I236*G236,IF(VLOOKUP(TRIM('DL 1'!G237),Data!$A:$C,3,0)="IR0",H236*G236,MIN(H236:I236)*G236)),0)</f>
        <v>0</v>
      </c>
      <c r="K236" t="e">
        <f>_xlfn.IFNA(VLOOKUP(TRIM(#REF!),Data!$A:$D,4,0)*#REF!,0)</f>
        <v>#REF!</v>
      </c>
      <c r="L236">
        <f>IF(TRIM('DL 1'!G237)="EDCLNHT0IRNLI",20000,0)</f>
        <v>0</v>
      </c>
      <c r="M236">
        <f>IF(ISERROR(MATCH('DL 1'!A237,#REF!,0)),0,J236*2)</f>
        <v>0</v>
      </c>
      <c r="N236" t="e">
        <f>#REF!</f>
        <v>#REF!</v>
      </c>
      <c r="O236">
        <f>_xlfn.IFNA(VLOOKUP(RIGHT(VLOOKUP(TRIM('DL 1'!G237),Data!$A:$B,2,0),1),Data!$L$23:$M$30,2,0),0)</f>
        <v>0</v>
      </c>
      <c r="P236">
        <f t="shared" si="40"/>
        <v>0</v>
      </c>
      <c r="Q236" s="7" t="b">
        <f t="shared" si="31"/>
        <v>0</v>
      </c>
      <c r="R236" s="27">
        <f>INCENTIVE!$E$8</f>
        <v>130000000</v>
      </c>
      <c r="S236">
        <f>'DL 1'!D237</f>
        <v>0</v>
      </c>
      <c r="T236" t="str">
        <f t="shared" si="32"/>
        <v>1</v>
      </c>
      <c r="V236" t="str">
        <f t="shared" si="33"/>
        <v>1</v>
      </c>
      <c r="W236">
        <f t="shared" si="34"/>
        <v>0.25</v>
      </c>
      <c r="X236" s="7">
        <f>'DL 1'!E237</f>
        <v>0</v>
      </c>
      <c r="Y236" s="69">
        <f>'DL 1'!G237</f>
        <v>0</v>
      </c>
      <c r="AC236" t="str">
        <f>IFERROR(VLOOKUP(Y236,Data!$G$65:$K$79,2,0) *X236,"")</f>
        <v/>
      </c>
      <c r="AD236" s="7">
        <f t="shared" si="35"/>
        <v>0</v>
      </c>
      <c r="AE236">
        <f>'DL 1'!F237</f>
        <v>0</v>
      </c>
      <c r="AF236" t="str">
        <f>IFERROR(VLOOKUP(Y236,Data!$G$65:$K$79,4,0),"")</f>
        <v/>
      </c>
      <c r="AG236" s="51" t="e">
        <f>#REF!</f>
        <v>#REF!</v>
      </c>
      <c r="AK236">
        <f t="shared" si="36"/>
        <v>0</v>
      </c>
      <c r="AL236">
        <f t="shared" si="37"/>
        <v>0</v>
      </c>
      <c r="AM236" s="70">
        <f t="shared" si="38"/>
        <v>0</v>
      </c>
      <c r="AN236" s="7" t="b">
        <f t="shared" si="39"/>
        <v>0</v>
      </c>
    </row>
    <row r="237" spans="1:40" x14ac:dyDescent="0.3">
      <c r="A237" s="50">
        <f>IF(D237="A",_xlfn.IFNA(INDEX(Data!$H$24:$J$28,MATCH('DL 1'!E238,Data!$G$24:$G$28,1),MATCH('DL 1'!D238,Data!$H$23:$J$23,1)),0),0)</f>
        <v>0</v>
      </c>
      <c r="B237">
        <f>IF('DL 1'!F238="Y",Q237,0)</f>
        <v>0</v>
      </c>
      <c r="C237" t="e">
        <f>_xlfn.IFNA(INDEX(Data!$H$24:$J$28,MATCH(#REF!,Data!$G$24:$G$28,1),MATCH(#REF!,Data!$H$23:$J$23,1)),0)</f>
        <v>#REF!</v>
      </c>
      <c r="D237" t="str">
        <f>RIGHT(TRIM('DL 1'!G238),1)</f>
        <v/>
      </c>
      <c r="E237" s="8">
        <f>'DL 1'!E238*'DL 1'!D238</f>
        <v>0</v>
      </c>
      <c r="F237" t="str">
        <f>_xlfn.IFNA(VLOOKUP(TRIM('DL 1'!G238),Data!$A:$C,3,0),"")</f>
        <v/>
      </c>
      <c r="G237" s="7">
        <f>'DL 1'!E238</f>
        <v>0</v>
      </c>
      <c r="H237" s="21">
        <f>_xlfn.IFNA(VLOOKUP(TRIM('DL 1'!G238),Data!$A:$D,4,0),0)</f>
        <v>0</v>
      </c>
      <c r="I237">
        <f>_xlfn.IFNA(INDEX(Data!$G$5:$K$10,MATCH('DL 1'!D238,Data!$F$5:$F$10,1),MATCH(_xlfn.SINGLE(#REF!),Data!$G$4:$K$4,1)),0)</f>
        <v>0</v>
      </c>
      <c r="J237">
        <f>_xlfn.IFNA(IF(VLOOKUP(TRIM('DL 1'!G238),Data!$A:$C,3,0)="ST1",H237*I237*G237,IF(VLOOKUP(TRIM('DL 1'!G238),Data!$A:$C,3,0)="IR0",H237*G237,MIN(H237:I237)*G237)),0)</f>
        <v>0</v>
      </c>
      <c r="K237" t="e">
        <f>_xlfn.IFNA(VLOOKUP(TRIM(#REF!),Data!$A:$D,4,0)*#REF!,0)</f>
        <v>#REF!</v>
      </c>
      <c r="L237">
        <f>IF(TRIM('DL 1'!G238)="EDCLNHT0IRNLI",20000,0)</f>
        <v>0</v>
      </c>
      <c r="M237">
        <f>IF(ISERROR(MATCH('DL 1'!A238,#REF!,0)),0,J237*2)</f>
        <v>0</v>
      </c>
      <c r="N237" t="e">
        <f>#REF!</f>
        <v>#REF!</v>
      </c>
      <c r="O237">
        <f>_xlfn.IFNA(VLOOKUP(RIGHT(VLOOKUP(TRIM('DL 1'!G238),Data!$A:$B,2,0),1),Data!$L$23:$M$30,2,0),0)</f>
        <v>0</v>
      </c>
      <c r="P237">
        <f t="shared" si="40"/>
        <v>0</v>
      </c>
      <c r="Q237" s="7" t="b">
        <f t="shared" si="31"/>
        <v>0</v>
      </c>
      <c r="R237" s="27">
        <f>INCENTIVE!$E$8</f>
        <v>130000000</v>
      </c>
      <c r="S237">
        <f>'DL 1'!D238</f>
        <v>0</v>
      </c>
      <c r="T237" t="str">
        <f t="shared" si="32"/>
        <v>1</v>
      </c>
      <c r="V237" t="str">
        <f t="shared" si="33"/>
        <v>1</v>
      </c>
      <c r="W237">
        <f t="shared" si="34"/>
        <v>0.25</v>
      </c>
      <c r="X237" s="7">
        <f>'DL 1'!E238</f>
        <v>0</v>
      </c>
      <c r="Y237" s="69">
        <f>'DL 1'!G238</f>
        <v>0</v>
      </c>
      <c r="AC237" t="str">
        <f>IFERROR(VLOOKUP(Y237,Data!$G$65:$K$79,2,0) *X237,"")</f>
        <v/>
      </c>
      <c r="AD237" s="7">
        <f t="shared" si="35"/>
        <v>0</v>
      </c>
      <c r="AE237">
        <f>'DL 1'!F238</f>
        <v>0</v>
      </c>
      <c r="AF237" t="str">
        <f>IFERROR(VLOOKUP(Y237,Data!$G$65:$K$79,4,0),"")</f>
        <v/>
      </c>
      <c r="AG237" s="51" t="e">
        <f>#REF!</f>
        <v>#REF!</v>
      </c>
      <c r="AK237">
        <f t="shared" si="36"/>
        <v>0</v>
      </c>
      <c r="AL237">
        <f t="shared" si="37"/>
        <v>0</v>
      </c>
      <c r="AM237" s="70">
        <f t="shared" si="38"/>
        <v>0</v>
      </c>
      <c r="AN237" s="7" t="b">
        <f t="shared" si="39"/>
        <v>0</v>
      </c>
    </row>
    <row r="238" spans="1:40" x14ac:dyDescent="0.3">
      <c r="A238" s="50">
        <f>IF(D238="A",_xlfn.IFNA(INDEX(Data!$H$24:$J$28,MATCH('DL 1'!E239,Data!$G$24:$G$28,1),MATCH('DL 1'!D239,Data!$H$23:$J$23,1)),0),0)</f>
        <v>0</v>
      </c>
      <c r="B238">
        <f>IF('DL 1'!F239="Y",Q238,0)</f>
        <v>0</v>
      </c>
      <c r="C238" t="e">
        <f>_xlfn.IFNA(INDEX(Data!$H$24:$J$28,MATCH(#REF!,Data!$G$24:$G$28,1),MATCH(#REF!,Data!$H$23:$J$23,1)),0)</f>
        <v>#REF!</v>
      </c>
      <c r="D238" t="str">
        <f>RIGHT(TRIM('DL 1'!G239),1)</f>
        <v/>
      </c>
      <c r="E238" s="8">
        <f>'DL 1'!E239*'DL 1'!D239</f>
        <v>0</v>
      </c>
      <c r="F238" t="str">
        <f>_xlfn.IFNA(VLOOKUP(TRIM('DL 1'!G239),Data!$A:$C,3,0),"")</f>
        <v/>
      </c>
      <c r="G238" s="7">
        <f>'DL 1'!E239</f>
        <v>0</v>
      </c>
      <c r="H238" s="21">
        <f>_xlfn.IFNA(VLOOKUP(TRIM('DL 1'!G239),Data!$A:$D,4,0),0)</f>
        <v>0</v>
      </c>
      <c r="I238">
        <f>_xlfn.IFNA(INDEX(Data!$G$5:$K$10,MATCH('DL 1'!D239,Data!$F$5:$F$10,1),MATCH(_xlfn.SINGLE(#REF!),Data!$G$4:$K$4,1)),0)</f>
        <v>0</v>
      </c>
      <c r="J238">
        <f>_xlfn.IFNA(IF(VLOOKUP(TRIM('DL 1'!G239),Data!$A:$C,3,0)="ST1",H238*I238*G238,IF(VLOOKUP(TRIM('DL 1'!G239),Data!$A:$C,3,0)="IR0",H238*G238,MIN(H238:I238)*G238)),0)</f>
        <v>0</v>
      </c>
      <c r="K238" t="e">
        <f>_xlfn.IFNA(VLOOKUP(TRIM(#REF!),Data!$A:$D,4,0)*#REF!,0)</f>
        <v>#REF!</v>
      </c>
      <c r="L238">
        <f>IF(TRIM('DL 1'!G239)="EDCLNHT0IRNLI",20000,0)</f>
        <v>0</v>
      </c>
      <c r="M238">
        <f>IF(ISERROR(MATCH('DL 1'!A239,#REF!,0)),0,J238*2)</f>
        <v>0</v>
      </c>
      <c r="N238" t="e">
        <f>#REF!</f>
        <v>#REF!</v>
      </c>
      <c r="O238">
        <f>_xlfn.IFNA(VLOOKUP(RIGHT(VLOOKUP(TRIM('DL 1'!G239),Data!$A:$B,2,0),1),Data!$L$23:$M$30,2,0),0)</f>
        <v>0</v>
      </c>
      <c r="P238">
        <f t="shared" si="40"/>
        <v>0</v>
      </c>
      <c r="Q238" s="7" t="b">
        <f t="shared" si="31"/>
        <v>0</v>
      </c>
      <c r="R238" s="27">
        <f>INCENTIVE!$E$8</f>
        <v>130000000</v>
      </c>
      <c r="S238">
        <f>'DL 1'!D239</f>
        <v>0</v>
      </c>
      <c r="T238" t="str">
        <f t="shared" si="32"/>
        <v>1</v>
      </c>
      <c r="V238" t="str">
        <f t="shared" si="33"/>
        <v>1</v>
      </c>
      <c r="W238">
        <f t="shared" si="34"/>
        <v>0.25</v>
      </c>
      <c r="X238" s="7">
        <f>'DL 1'!E239</f>
        <v>0</v>
      </c>
      <c r="Y238" s="69">
        <f>'DL 1'!G239</f>
        <v>0</v>
      </c>
      <c r="AC238" t="str">
        <f>IFERROR(VLOOKUP(Y238,Data!$G$65:$K$79,2,0) *X238,"")</f>
        <v/>
      </c>
      <c r="AD238" s="7">
        <f t="shared" si="35"/>
        <v>0</v>
      </c>
      <c r="AE238">
        <f>'DL 1'!F239</f>
        <v>0</v>
      </c>
      <c r="AF238" t="str">
        <f>IFERROR(VLOOKUP(Y238,Data!$G$65:$K$79,4,0),"")</f>
        <v/>
      </c>
      <c r="AG238" s="51" t="e">
        <f>#REF!</f>
        <v>#REF!</v>
      </c>
      <c r="AK238">
        <f t="shared" si="36"/>
        <v>0</v>
      </c>
      <c r="AL238">
        <f t="shared" si="37"/>
        <v>0</v>
      </c>
      <c r="AM238" s="70">
        <f t="shared" si="38"/>
        <v>0</v>
      </c>
      <c r="AN238" s="7" t="b">
        <f t="shared" si="39"/>
        <v>0</v>
      </c>
    </row>
    <row r="239" spans="1:40" x14ac:dyDescent="0.3">
      <c r="A239" s="50">
        <f>IF(D239="A",_xlfn.IFNA(INDEX(Data!$H$24:$J$28,MATCH('DL 1'!E240,Data!$G$24:$G$28,1),MATCH('DL 1'!D240,Data!$H$23:$J$23,1)),0),0)</f>
        <v>0</v>
      </c>
      <c r="B239">
        <f>IF('DL 1'!F240="Y",Q239,0)</f>
        <v>0</v>
      </c>
      <c r="C239" t="e">
        <f>_xlfn.IFNA(INDEX(Data!$H$24:$J$28,MATCH(#REF!,Data!$G$24:$G$28,1),MATCH(#REF!,Data!$H$23:$J$23,1)),0)</f>
        <v>#REF!</v>
      </c>
      <c r="D239" t="str">
        <f>RIGHT(TRIM('DL 1'!G240),1)</f>
        <v/>
      </c>
      <c r="E239" s="8">
        <f>'DL 1'!E240*'DL 1'!D240</f>
        <v>0</v>
      </c>
      <c r="F239" t="str">
        <f>_xlfn.IFNA(VLOOKUP(TRIM('DL 1'!G240),Data!$A:$C,3,0),"")</f>
        <v/>
      </c>
      <c r="G239" s="7">
        <f>'DL 1'!E240</f>
        <v>0</v>
      </c>
      <c r="H239" s="21">
        <f>_xlfn.IFNA(VLOOKUP(TRIM('DL 1'!G240),Data!$A:$D,4,0),0)</f>
        <v>0</v>
      </c>
      <c r="I239">
        <f>_xlfn.IFNA(INDEX(Data!$G$5:$K$10,MATCH('DL 1'!D240,Data!$F$5:$F$10,1),MATCH(_xlfn.SINGLE(#REF!),Data!$G$4:$K$4,1)),0)</f>
        <v>0</v>
      </c>
      <c r="J239">
        <f>_xlfn.IFNA(IF(VLOOKUP(TRIM('DL 1'!G240),Data!$A:$C,3,0)="ST1",H239*I239*G239,IF(VLOOKUP(TRIM('DL 1'!G240),Data!$A:$C,3,0)="IR0",H239*G239,MIN(H239:I239)*G239)),0)</f>
        <v>0</v>
      </c>
      <c r="K239" t="e">
        <f>_xlfn.IFNA(VLOOKUP(TRIM(#REF!),Data!$A:$D,4,0)*#REF!,0)</f>
        <v>#REF!</v>
      </c>
      <c r="L239">
        <f>IF(TRIM('DL 1'!G240)="EDCLNHT0IRNLI",20000,0)</f>
        <v>0</v>
      </c>
      <c r="M239">
        <f>IF(ISERROR(MATCH('DL 1'!A240,#REF!,0)),0,J239*2)</f>
        <v>0</v>
      </c>
      <c r="N239" t="e">
        <f>#REF!</f>
        <v>#REF!</v>
      </c>
      <c r="O239">
        <f>_xlfn.IFNA(VLOOKUP(RIGHT(VLOOKUP(TRIM('DL 1'!G240),Data!$A:$B,2,0),1),Data!$L$23:$M$30,2,0),0)</f>
        <v>0</v>
      </c>
      <c r="P239">
        <f t="shared" si="40"/>
        <v>0</v>
      </c>
      <c r="Q239" s="7" t="b">
        <f t="shared" si="31"/>
        <v>0</v>
      </c>
      <c r="R239" s="27">
        <f>INCENTIVE!$E$8</f>
        <v>130000000</v>
      </c>
      <c r="S239">
        <f>'DL 1'!D240</f>
        <v>0</v>
      </c>
      <c r="T239" t="str">
        <f t="shared" si="32"/>
        <v>1</v>
      </c>
      <c r="V239" t="str">
        <f t="shared" si="33"/>
        <v>1</v>
      </c>
      <c r="W239">
        <f t="shared" si="34"/>
        <v>0.25</v>
      </c>
      <c r="X239" s="7">
        <f>'DL 1'!E240</f>
        <v>0</v>
      </c>
      <c r="Y239" s="69">
        <f>'DL 1'!G240</f>
        <v>0</v>
      </c>
      <c r="AC239" t="str">
        <f>IFERROR(VLOOKUP(Y239,Data!$G$65:$K$79,2,0) *X239,"")</f>
        <v/>
      </c>
      <c r="AD239" s="7">
        <f t="shared" si="35"/>
        <v>0</v>
      </c>
      <c r="AE239">
        <f>'DL 1'!F240</f>
        <v>0</v>
      </c>
      <c r="AF239" t="str">
        <f>IFERROR(VLOOKUP(Y239,Data!$G$65:$K$79,4,0),"")</f>
        <v/>
      </c>
      <c r="AG239" s="51" t="e">
        <f>#REF!</f>
        <v>#REF!</v>
      </c>
      <c r="AK239">
        <f t="shared" si="36"/>
        <v>0</v>
      </c>
      <c r="AL239">
        <f t="shared" si="37"/>
        <v>0</v>
      </c>
      <c r="AM239" s="70">
        <f t="shared" si="38"/>
        <v>0</v>
      </c>
      <c r="AN239" s="7" t="b">
        <f t="shared" si="39"/>
        <v>0</v>
      </c>
    </row>
    <row r="240" spans="1:40" x14ac:dyDescent="0.3">
      <c r="A240" s="50">
        <f>IF(D240="A",_xlfn.IFNA(INDEX(Data!$H$24:$J$28,MATCH('DL 1'!E241,Data!$G$24:$G$28,1),MATCH('DL 1'!D241,Data!$H$23:$J$23,1)),0),0)</f>
        <v>0</v>
      </c>
      <c r="B240">
        <f>IF('DL 1'!F241="Y",Q240,0)</f>
        <v>0</v>
      </c>
      <c r="C240" t="e">
        <f>_xlfn.IFNA(INDEX(Data!$H$24:$J$28,MATCH(#REF!,Data!$G$24:$G$28,1),MATCH(#REF!,Data!$H$23:$J$23,1)),0)</f>
        <v>#REF!</v>
      </c>
      <c r="D240" t="str">
        <f>RIGHT(TRIM('DL 1'!G241),1)</f>
        <v/>
      </c>
      <c r="E240" s="8">
        <f>'DL 1'!E241*'DL 1'!D241</f>
        <v>0</v>
      </c>
      <c r="F240" t="str">
        <f>_xlfn.IFNA(VLOOKUP(TRIM('DL 1'!G241),Data!$A:$C,3,0),"")</f>
        <v/>
      </c>
      <c r="G240" s="7">
        <f>'DL 1'!E241</f>
        <v>0</v>
      </c>
      <c r="H240" s="21">
        <f>_xlfn.IFNA(VLOOKUP(TRIM('DL 1'!G241),Data!$A:$D,4,0),0)</f>
        <v>0</v>
      </c>
      <c r="I240">
        <f>_xlfn.IFNA(INDEX(Data!$G$5:$K$10,MATCH('DL 1'!D241,Data!$F$5:$F$10,1),MATCH(_xlfn.SINGLE(#REF!),Data!$G$4:$K$4,1)),0)</f>
        <v>0</v>
      </c>
      <c r="J240">
        <f>_xlfn.IFNA(IF(VLOOKUP(TRIM('DL 1'!G241),Data!$A:$C,3,0)="ST1",H240*I240*G240,IF(VLOOKUP(TRIM('DL 1'!G241),Data!$A:$C,3,0)="IR0",H240*G240,MIN(H240:I240)*G240)),0)</f>
        <v>0</v>
      </c>
      <c r="K240" t="e">
        <f>_xlfn.IFNA(VLOOKUP(TRIM(#REF!),Data!$A:$D,4,0)*#REF!,0)</f>
        <v>#REF!</v>
      </c>
      <c r="L240">
        <f>IF(TRIM('DL 1'!G241)="EDCLNHT0IRNLI",20000,0)</f>
        <v>0</v>
      </c>
      <c r="M240">
        <f>IF(ISERROR(MATCH('DL 1'!A241,#REF!,0)),0,J240*2)</f>
        <v>0</v>
      </c>
      <c r="N240" t="e">
        <f>#REF!</f>
        <v>#REF!</v>
      </c>
      <c r="O240">
        <f>_xlfn.IFNA(VLOOKUP(RIGHT(VLOOKUP(TRIM('DL 1'!G241),Data!$A:$B,2,0),1),Data!$L$23:$M$30,2,0),0)</f>
        <v>0</v>
      </c>
      <c r="P240">
        <f t="shared" si="40"/>
        <v>0</v>
      </c>
      <c r="Q240" s="7" t="b">
        <f t="shared" si="31"/>
        <v>0</v>
      </c>
      <c r="R240" s="27">
        <f>INCENTIVE!$E$8</f>
        <v>130000000</v>
      </c>
      <c r="S240">
        <f>'DL 1'!D241</f>
        <v>0</v>
      </c>
      <c r="T240" t="str">
        <f t="shared" si="32"/>
        <v>1</v>
      </c>
      <c r="V240" t="str">
        <f t="shared" si="33"/>
        <v>1</v>
      </c>
      <c r="W240">
        <f t="shared" si="34"/>
        <v>0.25</v>
      </c>
      <c r="X240" s="7">
        <f>'DL 1'!E241</f>
        <v>0</v>
      </c>
      <c r="Y240" s="69">
        <f>'DL 1'!G241</f>
        <v>0</v>
      </c>
      <c r="AC240" t="str">
        <f>IFERROR(VLOOKUP(Y240,Data!$G$65:$K$79,2,0) *X240,"")</f>
        <v/>
      </c>
      <c r="AD240" s="7">
        <f t="shared" si="35"/>
        <v>0</v>
      </c>
      <c r="AE240">
        <f>'DL 1'!F241</f>
        <v>0</v>
      </c>
      <c r="AF240" t="str">
        <f>IFERROR(VLOOKUP(Y240,Data!$G$65:$K$79,4,0),"")</f>
        <v/>
      </c>
      <c r="AG240" s="51" t="e">
        <f>#REF!</f>
        <v>#REF!</v>
      </c>
      <c r="AK240">
        <f t="shared" si="36"/>
        <v>0</v>
      </c>
      <c r="AL240">
        <f t="shared" si="37"/>
        <v>0</v>
      </c>
      <c r="AM240" s="70">
        <f t="shared" si="38"/>
        <v>0</v>
      </c>
      <c r="AN240" s="7" t="b">
        <f t="shared" si="39"/>
        <v>0</v>
      </c>
    </row>
    <row r="241" spans="1:40" x14ac:dyDescent="0.3">
      <c r="A241" s="50">
        <f>IF(D241="A",_xlfn.IFNA(INDEX(Data!$H$24:$J$28,MATCH('DL 1'!E242,Data!$G$24:$G$28,1),MATCH('DL 1'!D242,Data!$H$23:$J$23,1)),0),0)</f>
        <v>0</v>
      </c>
      <c r="B241">
        <f>IF('DL 1'!F242="Y",Q241,0)</f>
        <v>0</v>
      </c>
      <c r="C241" t="e">
        <f>_xlfn.IFNA(INDEX(Data!$H$24:$J$28,MATCH(#REF!,Data!$G$24:$G$28,1),MATCH(#REF!,Data!$H$23:$J$23,1)),0)</f>
        <v>#REF!</v>
      </c>
      <c r="D241" t="str">
        <f>RIGHT(TRIM('DL 1'!G242),1)</f>
        <v/>
      </c>
      <c r="E241" s="8">
        <f>'DL 1'!E242*'DL 1'!D242</f>
        <v>0</v>
      </c>
      <c r="F241" t="str">
        <f>_xlfn.IFNA(VLOOKUP(TRIM('DL 1'!G242),Data!$A:$C,3,0),"")</f>
        <v/>
      </c>
      <c r="G241" s="7">
        <f>'DL 1'!E242</f>
        <v>0</v>
      </c>
      <c r="H241" s="21">
        <f>_xlfn.IFNA(VLOOKUP(TRIM('DL 1'!G242),Data!$A:$D,4,0),0)</f>
        <v>0</v>
      </c>
      <c r="I241">
        <f>_xlfn.IFNA(INDEX(Data!$G$5:$K$10,MATCH('DL 1'!D242,Data!$F$5:$F$10,1),MATCH(_xlfn.SINGLE(#REF!),Data!$G$4:$K$4,1)),0)</f>
        <v>0</v>
      </c>
      <c r="J241">
        <f>_xlfn.IFNA(IF(VLOOKUP(TRIM('DL 1'!G242),Data!$A:$C,3,0)="ST1",H241*I241*G241,IF(VLOOKUP(TRIM('DL 1'!G242),Data!$A:$C,3,0)="IR0",H241*G241,MIN(H241:I241)*G241)),0)</f>
        <v>0</v>
      </c>
      <c r="K241" t="e">
        <f>_xlfn.IFNA(VLOOKUP(TRIM(#REF!),Data!$A:$D,4,0)*#REF!,0)</f>
        <v>#REF!</v>
      </c>
      <c r="L241">
        <f>IF(TRIM('DL 1'!G242)="EDCLNHT0IRNLI",20000,0)</f>
        <v>0</v>
      </c>
      <c r="M241">
        <f>IF(ISERROR(MATCH('DL 1'!A242,#REF!,0)),0,J241*2)</f>
        <v>0</v>
      </c>
      <c r="N241" t="e">
        <f>#REF!</f>
        <v>#REF!</v>
      </c>
      <c r="O241">
        <f>_xlfn.IFNA(VLOOKUP(RIGHT(VLOOKUP(TRIM('DL 1'!G242),Data!$A:$B,2,0),1),Data!$L$23:$M$30,2,0),0)</f>
        <v>0</v>
      </c>
      <c r="P241">
        <f t="shared" si="40"/>
        <v>0</v>
      </c>
      <c r="Q241" s="7" t="b">
        <f t="shared" si="31"/>
        <v>0</v>
      </c>
      <c r="R241" s="27">
        <f>INCENTIVE!$E$8</f>
        <v>130000000</v>
      </c>
      <c r="S241">
        <f>'DL 1'!D242</f>
        <v>0</v>
      </c>
      <c r="T241" t="str">
        <f t="shared" si="32"/>
        <v>1</v>
      </c>
      <c r="V241" t="str">
        <f t="shared" si="33"/>
        <v>1</v>
      </c>
      <c r="W241">
        <f t="shared" si="34"/>
        <v>0.25</v>
      </c>
      <c r="X241" s="7">
        <f>'DL 1'!E242</f>
        <v>0</v>
      </c>
      <c r="Y241" s="69">
        <f>'DL 1'!G242</f>
        <v>0</v>
      </c>
      <c r="AC241" t="str">
        <f>IFERROR(VLOOKUP(Y241,Data!$G$65:$K$79,2,0) *X241,"")</f>
        <v/>
      </c>
      <c r="AD241" s="7">
        <f t="shared" si="35"/>
        <v>0</v>
      </c>
      <c r="AE241">
        <f>'DL 1'!F242</f>
        <v>0</v>
      </c>
      <c r="AF241" t="str">
        <f>IFERROR(VLOOKUP(Y241,Data!$G$65:$K$79,4,0),"")</f>
        <v/>
      </c>
      <c r="AG241" s="51" t="e">
        <f>#REF!</f>
        <v>#REF!</v>
      </c>
      <c r="AK241">
        <f t="shared" si="36"/>
        <v>0</v>
      </c>
      <c r="AL241">
        <f t="shared" si="37"/>
        <v>0</v>
      </c>
      <c r="AM241" s="70">
        <f t="shared" si="38"/>
        <v>0</v>
      </c>
      <c r="AN241" s="7" t="b">
        <f t="shared" si="39"/>
        <v>0</v>
      </c>
    </row>
    <row r="242" spans="1:40" x14ac:dyDescent="0.3">
      <c r="A242" s="50">
        <f>IF(D242="A",_xlfn.IFNA(INDEX(Data!$H$24:$J$28,MATCH('DL 1'!E243,Data!$G$24:$G$28,1),MATCH('DL 1'!D243,Data!$H$23:$J$23,1)),0),0)</f>
        <v>0</v>
      </c>
      <c r="B242">
        <f>IF('DL 1'!F243="Y",Q242,0)</f>
        <v>0</v>
      </c>
      <c r="C242" t="e">
        <f>_xlfn.IFNA(INDEX(Data!$H$24:$J$28,MATCH(#REF!,Data!$G$24:$G$28,1),MATCH(#REF!,Data!$H$23:$J$23,1)),0)</f>
        <v>#REF!</v>
      </c>
      <c r="D242" t="str">
        <f>RIGHT(TRIM('DL 1'!G243),1)</f>
        <v/>
      </c>
      <c r="E242" s="8">
        <f>'DL 1'!E243*'DL 1'!D243</f>
        <v>0</v>
      </c>
      <c r="F242" t="str">
        <f>_xlfn.IFNA(VLOOKUP(TRIM('DL 1'!G243),Data!$A:$C,3,0),"")</f>
        <v/>
      </c>
      <c r="G242" s="7">
        <f>'DL 1'!E243</f>
        <v>0</v>
      </c>
      <c r="H242" s="21">
        <f>_xlfn.IFNA(VLOOKUP(TRIM('DL 1'!G243),Data!$A:$D,4,0),0)</f>
        <v>0</v>
      </c>
      <c r="I242">
        <f>_xlfn.IFNA(INDEX(Data!$G$5:$K$10,MATCH('DL 1'!D243,Data!$F$5:$F$10,1),MATCH(_xlfn.SINGLE(#REF!),Data!$G$4:$K$4,1)),0)</f>
        <v>0</v>
      </c>
      <c r="J242">
        <f>_xlfn.IFNA(IF(VLOOKUP(TRIM('DL 1'!G243),Data!$A:$C,3,0)="ST1",H242*I242*G242,IF(VLOOKUP(TRIM('DL 1'!G243),Data!$A:$C,3,0)="IR0",H242*G242,MIN(H242:I242)*G242)),0)</f>
        <v>0</v>
      </c>
      <c r="K242" t="e">
        <f>_xlfn.IFNA(VLOOKUP(TRIM(#REF!),Data!$A:$D,4,0)*#REF!,0)</f>
        <v>#REF!</v>
      </c>
      <c r="L242">
        <f>IF(TRIM('DL 1'!G243)="EDCLNHT0IRNLI",20000,0)</f>
        <v>0</v>
      </c>
      <c r="M242">
        <f>IF(ISERROR(MATCH('DL 1'!A243,#REF!,0)),0,J242*2)</f>
        <v>0</v>
      </c>
      <c r="N242" t="e">
        <f>#REF!</f>
        <v>#REF!</v>
      </c>
      <c r="O242">
        <f>_xlfn.IFNA(VLOOKUP(RIGHT(VLOOKUP(TRIM('DL 1'!G243),Data!$A:$B,2,0),1),Data!$L$23:$M$30,2,0),0)</f>
        <v>0</v>
      </c>
      <c r="P242">
        <f t="shared" si="40"/>
        <v>0</v>
      </c>
      <c r="Q242" s="7" t="b">
        <f t="shared" si="31"/>
        <v>0</v>
      </c>
      <c r="R242" s="27">
        <f>INCENTIVE!$E$8</f>
        <v>130000000</v>
      </c>
      <c r="S242">
        <f>'DL 1'!D243</f>
        <v>0</v>
      </c>
      <c r="T242" t="str">
        <f t="shared" si="32"/>
        <v>1</v>
      </c>
      <c r="V242" t="str">
        <f t="shared" si="33"/>
        <v>1</v>
      </c>
      <c r="W242">
        <f t="shared" si="34"/>
        <v>0.25</v>
      </c>
      <c r="X242" s="7">
        <f>'DL 1'!E243</f>
        <v>0</v>
      </c>
      <c r="Y242" s="69">
        <f>'DL 1'!G243</f>
        <v>0</v>
      </c>
      <c r="AC242" t="str">
        <f>IFERROR(VLOOKUP(Y242,Data!$G$65:$K$79,2,0) *X242,"")</f>
        <v/>
      </c>
      <c r="AD242" s="7">
        <f t="shared" si="35"/>
        <v>0</v>
      </c>
      <c r="AE242">
        <f>'DL 1'!F243</f>
        <v>0</v>
      </c>
      <c r="AF242" t="str">
        <f>IFERROR(VLOOKUP(Y242,Data!$G$65:$K$79,4,0),"")</f>
        <v/>
      </c>
      <c r="AG242" s="51" t="e">
        <f>#REF!</f>
        <v>#REF!</v>
      </c>
      <c r="AK242">
        <f t="shared" si="36"/>
        <v>0</v>
      </c>
      <c r="AL242">
        <f t="shared" si="37"/>
        <v>0</v>
      </c>
      <c r="AM242" s="70">
        <f t="shared" si="38"/>
        <v>0</v>
      </c>
      <c r="AN242" s="7" t="b">
        <f t="shared" si="39"/>
        <v>0</v>
      </c>
    </row>
    <row r="243" spans="1:40" x14ac:dyDescent="0.3">
      <c r="A243" s="50">
        <f>IF(D243="A",_xlfn.IFNA(INDEX(Data!$H$24:$J$28,MATCH('DL 1'!E244,Data!$G$24:$G$28,1),MATCH('DL 1'!D244,Data!$H$23:$J$23,1)),0),0)</f>
        <v>0</v>
      </c>
      <c r="B243">
        <f>IF('DL 1'!F244="Y",Q243,0)</f>
        <v>0</v>
      </c>
      <c r="C243" t="e">
        <f>_xlfn.IFNA(INDEX(Data!$H$24:$J$28,MATCH(#REF!,Data!$G$24:$G$28,1),MATCH(#REF!,Data!$H$23:$J$23,1)),0)</f>
        <v>#REF!</v>
      </c>
      <c r="D243" t="str">
        <f>RIGHT(TRIM('DL 1'!G244),1)</f>
        <v/>
      </c>
      <c r="E243" s="8">
        <f>'DL 1'!E244*'DL 1'!D244</f>
        <v>0</v>
      </c>
      <c r="F243" t="str">
        <f>_xlfn.IFNA(VLOOKUP(TRIM('DL 1'!G244),Data!$A:$C,3,0),"")</f>
        <v/>
      </c>
      <c r="G243" s="7">
        <f>'DL 1'!E244</f>
        <v>0</v>
      </c>
      <c r="H243" s="21">
        <f>_xlfn.IFNA(VLOOKUP(TRIM('DL 1'!G244),Data!$A:$D,4,0),0)</f>
        <v>0</v>
      </c>
      <c r="I243">
        <f>_xlfn.IFNA(INDEX(Data!$G$5:$K$10,MATCH('DL 1'!D244,Data!$F$5:$F$10,1),MATCH(_xlfn.SINGLE(#REF!),Data!$G$4:$K$4,1)),0)</f>
        <v>0</v>
      </c>
      <c r="J243">
        <f>_xlfn.IFNA(IF(VLOOKUP(TRIM('DL 1'!G244),Data!$A:$C,3,0)="ST1",H243*I243*G243,IF(VLOOKUP(TRIM('DL 1'!G244),Data!$A:$C,3,0)="IR0",H243*G243,MIN(H243:I243)*G243)),0)</f>
        <v>0</v>
      </c>
      <c r="K243" t="e">
        <f>_xlfn.IFNA(VLOOKUP(TRIM(#REF!),Data!$A:$D,4,0)*#REF!,0)</f>
        <v>#REF!</v>
      </c>
      <c r="L243">
        <f>IF(TRIM('DL 1'!G244)="EDCLNHT0IRNLI",20000,0)</f>
        <v>0</v>
      </c>
      <c r="M243">
        <f>IF(ISERROR(MATCH('DL 1'!A244,#REF!,0)),0,J243*2)</f>
        <v>0</v>
      </c>
      <c r="N243" t="e">
        <f>#REF!</f>
        <v>#REF!</v>
      </c>
      <c r="O243">
        <f>_xlfn.IFNA(VLOOKUP(RIGHT(VLOOKUP(TRIM('DL 1'!G244),Data!$A:$B,2,0),1),Data!$L$23:$M$30,2,0),0)</f>
        <v>0</v>
      </c>
      <c r="P243">
        <f t="shared" si="40"/>
        <v>0</v>
      </c>
      <c r="Q243" s="7" t="b">
        <f t="shared" si="31"/>
        <v>0</v>
      </c>
      <c r="R243" s="27">
        <f>INCENTIVE!$E$8</f>
        <v>130000000</v>
      </c>
      <c r="S243">
        <f>'DL 1'!D244</f>
        <v>0</v>
      </c>
      <c r="T243" t="str">
        <f t="shared" si="32"/>
        <v>1</v>
      </c>
      <c r="V243" t="str">
        <f t="shared" si="33"/>
        <v>1</v>
      </c>
      <c r="W243">
        <f t="shared" si="34"/>
        <v>0.25</v>
      </c>
      <c r="X243" s="7">
        <f>'DL 1'!E244</f>
        <v>0</v>
      </c>
      <c r="Y243" s="69">
        <f>'DL 1'!G244</f>
        <v>0</v>
      </c>
      <c r="AC243" t="str">
        <f>IFERROR(VLOOKUP(Y243,Data!$G$65:$K$79,2,0) *X243,"")</f>
        <v/>
      </c>
      <c r="AD243" s="7">
        <f t="shared" si="35"/>
        <v>0</v>
      </c>
      <c r="AE243">
        <f>'DL 1'!F244</f>
        <v>0</v>
      </c>
      <c r="AF243" t="str">
        <f>IFERROR(VLOOKUP(Y243,Data!$G$65:$K$79,4,0),"")</f>
        <v/>
      </c>
      <c r="AG243" s="51" t="e">
        <f>#REF!</f>
        <v>#REF!</v>
      </c>
      <c r="AK243">
        <f t="shared" si="36"/>
        <v>0</v>
      </c>
      <c r="AL243">
        <f t="shared" si="37"/>
        <v>0</v>
      </c>
      <c r="AM243" s="70">
        <f t="shared" si="38"/>
        <v>0</v>
      </c>
      <c r="AN243" s="7" t="b">
        <f t="shared" si="39"/>
        <v>0</v>
      </c>
    </row>
    <row r="244" spans="1:40" x14ac:dyDescent="0.3">
      <c r="A244" s="50">
        <f>IF(D244="A",_xlfn.IFNA(INDEX(Data!$H$24:$J$28,MATCH('DL 1'!E245,Data!$G$24:$G$28,1),MATCH('DL 1'!D245,Data!$H$23:$J$23,1)),0),0)</f>
        <v>0</v>
      </c>
      <c r="B244">
        <f>IF('DL 1'!F245="Y",Q244,0)</f>
        <v>0</v>
      </c>
      <c r="C244" t="e">
        <f>_xlfn.IFNA(INDEX(Data!$H$24:$J$28,MATCH(#REF!,Data!$G$24:$G$28,1),MATCH(#REF!,Data!$H$23:$J$23,1)),0)</f>
        <v>#REF!</v>
      </c>
      <c r="D244" t="str">
        <f>RIGHT(TRIM('DL 1'!G245),1)</f>
        <v/>
      </c>
      <c r="E244" s="8">
        <f>'DL 1'!E245*'DL 1'!D245</f>
        <v>0</v>
      </c>
      <c r="F244" t="str">
        <f>_xlfn.IFNA(VLOOKUP(TRIM('DL 1'!G245),Data!$A:$C,3,0),"")</f>
        <v/>
      </c>
      <c r="G244" s="7">
        <f>'DL 1'!E245</f>
        <v>0</v>
      </c>
      <c r="H244" s="21">
        <f>_xlfn.IFNA(VLOOKUP(TRIM('DL 1'!G245),Data!$A:$D,4,0),0)</f>
        <v>0</v>
      </c>
      <c r="I244">
        <f>_xlfn.IFNA(INDEX(Data!$G$5:$K$10,MATCH('DL 1'!D245,Data!$F$5:$F$10,1),MATCH(_xlfn.SINGLE(#REF!),Data!$G$4:$K$4,1)),0)</f>
        <v>0</v>
      </c>
      <c r="J244">
        <f>_xlfn.IFNA(IF(VLOOKUP(TRIM('DL 1'!G245),Data!$A:$C,3,0)="ST1",H244*I244*G244,IF(VLOOKUP(TRIM('DL 1'!G245),Data!$A:$C,3,0)="IR0",H244*G244,MIN(H244:I244)*G244)),0)</f>
        <v>0</v>
      </c>
      <c r="K244" t="e">
        <f>_xlfn.IFNA(VLOOKUP(TRIM(#REF!),Data!$A:$D,4,0)*#REF!,0)</f>
        <v>#REF!</v>
      </c>
      <c r="L244">
        <f>IF(TRIM('DL 1'!G245)="EDCLNHT0IRNLI",20000,0)</f>
        <v>0</v>
      </c>
      <c r="M244">
        <f>IF(ISERROR(MATCH('DL 1'!A245,#REF!,0)),0,J244*2)</f>
        <v>0</v>
      </c>
      <c r="N244" t="e">
        <f>#REF!</f>
        <v>#REF!</v>
      </c>
      <c r="O244">
        <f>_xlfn.IFNA(VLOOKUP(RIGHT(VLOOKUP(TRIM('DL 1'!G245),Data!$A:$B,2,0),1),Data!$L$23:$M$30,2,0),0)</f>
        <v>0</v>
      </c>
      <c r="P244">
        <f t="shared" si="40"/>
        <v>0</v>
      </c>
      <c r="Q244" s="7" t="b">
        <f t="shared" si="31"/>
        <v>0</v>
      </c>
      <c r="R244" s="27">
        <f>INCENTIVE!$E$8</f>
        <v>130000000</v>
      </c>
      <c r="S244">
        <f>'DL 1'!D245</f>
        <v>0</v>
      </c>
      <c r="T244" t="str">
        <f t="shared" si="32"/>
        <v>1</v>
      </c>
      <c r="V244" t="str">
        <f t="shared" si="33"/>
        <v>1</v>
      </c>
      <c r="W244">
        <f t="shared" si="34"/>
        <v>0.25</v>
      </c>
      <c r="X244" s="7">
        <f>'DL 1'!E245</f>
        <v>0</v>
      </c>
      <c r="Y244" s="69">
        <f>'DL 1'!G245</f>
        <v>0</v>
      </c>
      <c r="AC244" t="str">
        <f>IFERROR(VLOOKUP(Y244,Data!$G$65:$K$79,2,0) *X244,"")</f>
        <v/>
      </c>
      <c r="AD244" s="7">
        <f t="shared" si="35"/>
        <v>0</v>
      </c>
      <c r="AE244">
        <f>'DL 1'!F245</f>
        <v>0</v>
      </c>
      <c r="AF244" t="str">
        <f>IFERROR(VLOOKUP(Y244,Data!$G$65:$K$79,4,0),"")</f>
        <v/>
      </c>
      <c r="AG244" s="51" t="e">
        <f>#REF!</f>
        <v>#REF!</v>
      </c>
      <c r="AK244">
        <f t="shared" si="36"/>
        <v>0</v>
      </c>
      <c r="AL244">
        <f t="shared" si="37"/>
        <v>0</v>
      </c>
      <c r="AM244" s="70">
        <f t="shared" si="38"/>
        <v>0</v>
      </c>
      <c r="AN244" s="7" t="b">
        <f t="shared" si="39"/>
        <v>0</v>
      </c>
    </row>
    <row r="245" spans="1:40" x14ac:dyDescent="0.3">
      <c r="A245" s="50">
        <f>IF(D245="A",_xlfn.IFNA(INDEX(Data!$H$24:$J$28,MATCH('DL 1'!E246,Data!$G$24:$G$28,1),MATCH('DL 1'!D246,Data!$H$23:$J$23,1)),0),0)</f>
        <v>0</v>
      </c>
      <c r="B245">
        <f>IF('DL 1'!F246="Y",Q245,0)</f>
        <v>0</v>
      </c>
      <c r="C245" t="e">
        <f>_xlfn.IFNA(INDEX(Data!$H$24:$J$28,MATCH(#REF!,Data!$G$24:$G$28,1),MATCH(#REF!,Data!$H$23:$J$23,1)),0)</f>
        <v>#REF!</v>
      </c>
      <c r="D245" t="str">
        <f>RIGHT(TRIM('DL 1'!G246),1)</f>
        <v/>
      </c>
      <c r="E245" s="8">
        <f>'DL 1'!E246*'DL 1'!D246</f>
        <v>0</v>
      </c>
      <c r="F245" t="str">
        <f>_xlfn.IFNA(VLOOKUP(TRIM('DL 1'!G246),Data!$A:$C,3,0),"")</f>
        <v/>
      </c>
      <c r="G245" s="7">
        <f>'DL 1'!E246</f>
        <v>0</v>
      </c>
      <c r="H245" s="21">
        <f>_xlfn.IFNA(VLOOKUP(TRIM('DL 1'!G246),Data!$A:$D,4,0),0)</f>
        <v>0</v>
      </c>
      <c r="I245">
        <f>_xlfn.IFNA(INDEX(Data!$G$5:$K$10,MATCH('DL 1'!D246,Data!$F$5:$F$10,1),MATCH(_xlfn.SINGLE(#REF!),Data!$G$4:$K$4,1)),0)</f>
        <v>0</v>
      </c>
      <c r="J245">
        <f>_xlfn.IFNA(IF(VLOOKUP(TRIM('DL 1'!G246),Data!$A:$C,3,0)="ST1",H245*I245*G245,IF(VLOOKUP(TRIM('DL 1'!G246),Data!$A:$C,3,0)="IR0",H245*G245,MIN(H245:I245)*G245)),0)</f>
        <v>0</v>
      </c>
      <c r="K245" t="e">
        <f>_xlfn.IFNA(VLOOKUP(TRIM(#REF!),Data!$A:$D,4,0)*#REF!,0)</f>
        <v>#REF!</v>
      </c>
      <c r="L245">
        <f>IF(TRIM('DL 1'!G246)="EDCLNHT0IRNLI",20000,0)</f>
        <v>0</v>
      </c>
      <c r="M245">
        <f>IF(ISERROR(MATCH('DL 1'!A246,#REF!,0)),0,J245*2)</f>
        <v>0</v>
      </c>
      <c r="N245" t="e">
        <f>#REF!</f>
        <v>#REF!</v>
      </c>
      <c r="O245">
        <f>_xlfn.IFNA(VLOOKUP(RIGHT(VLOOKUP(TRIM('DL 1'!G246),Data!$A:$B,2,0),1),Data!$L$23:$M$30,2,0),0)</f>
        <v>0</v>
      </c>
      <c r="P245">
        <f t="shared" si="40"/>
        <v>0</v>
      </c>
      <c r="Q245" s="7" t="b">
        <f t="shared" si="31"/>
        <v>0</v>
      </c>
      <c r="R245" s="27">
        <f>INCENTIVE!$E$8</f>
        <v>130000000</v>
      </c>
      <c r="S245">
        <f>'DL 1'!D246</f>
        <v>0</v>
      </c>
      <c r="T245" t="str">
        <f t="shared" si="32"/>
        <v>1</v>
      </c>
      <c r="V245" t="str">
        <f t="shared" si="33"/>
        <v>1</v>
      </c>
      <c r="W245">
        <f t="shared" si="34"/>
        <v>0.25</v>
      </c>
      <c r="X245" s="7">
        <f>'DL 1'!E246</f>
        <v>0</v>
      </c>
      <c r="Y245" s="69">
        <f>'DL 1'!G246</f>
        <v>0</v>
      </c>
      <c r="AC245" t="str">
        <f>IFERROR(VLOOKUP(Y245,Data!$G$65:$K$79,2,0) *X245,"")</f>
        <v/>
      </c>
      <c r="AD245" s="7">
        <f t="shared" si="35"/>
        <v>0</v>
      </c>
      <c r="AE245">
        <f>'DL 1'!F246</f>
        <v>0</v>
      </c>
      <c r="AF245" t="str">
        <f>IFERROR(VLOOKUP(Y245,Data!$G$65:$K$79,4,0),"")</f>
        <v/>
      </c>
      <c r="AG245" s="51" t="e">
        <f>#REF!</f>
        <v>#REF!</v>
      </c>
      <c r="AK245">
        <f t="shared" si="36"/>
        <v>0</v>
      </c>
      <c r="AL245">
        <f t="shared" si="37"/>
        <v>0</v>
      </c>
      <c r="AM245" s="70">
        <f t="shared" si="38"/>
        <v>0</v>
      </c>
      <c r="AN245" s="7" t="b">
        <f t="shared" si="39"/>
        <v>0</v>
      </c>
    </row>
    <row r="246" spans="1:40" x14ac:dyDescent="0.3">
      <c r="A246" s="50">
        <f>IF(D246="A",_xlfn.IFNA(INDEX(Data!$H$24:$J$28,MATCH('DL 1'!E247,Data!$G$24:$G$28,1),MATCH('DL 1'!D247,Data!$H$23:$J$23,1)),0),0)</f>
        <v>0</v>
      </c>
      <c r="B246">
        <f>IF('DL 1'!F247="Y",Q246,0)</f>
        <v>0</v>
      </c>
      <c r="C246" t="e">
        <f>_xlfn.IFNA(INDEX(Data!$H$24:$J$28,MATCH(#REF!,Data!$G$24:$G$28,1),MATCH(#REF!,Data!$H$23:$J$23,1)),0)</f>
        <v>#REF!</v>
      </c>
      <c r="D246" t="str">
        <f>RIGHT(TRIM('DL 1'!G247),1)</f>
        <v/>
      </c>
      <c r="E246" s="8">
        <f>'DL 1'!E247*'DL 1'!D247</f>
        <v>0</v>
      </c>
      <c r="F246" t="str">
        <f>_xlfn.IFNA(VLOOKUP(TRIM('DL 1'!G247),Data!$A:$C,3,0),"")</f>
        <v/>
      </c>
      <c r="G246" s="7">
        <f>'DL 1'!E247</f>
        <v>0</v>
      </c>
      <c r="H246" s="21">
        <f>_xlfn.IFNA(VLOOKUP(TRIM('DL 1'!G247),Data!$A:$D,4,0),0)</f>
        <v>0</v>
      </c>
      <c r="I246">
        <f>_xlfn.IFNA(INDEX(Data!$G$5:$K$10,MATCH('DL 1'!D247,Data!$F$5:$F$10,1),MATCH(_xlfn.SINGLE(#REF!),Data!$G$4:$K$4,1)),0)</f>
        <v>0</v>
      </c>
      <c r="J246">
        <f>_xlfn.IFNA(IF(VLOOKUP(TRIM('DL 1'!G247),Data!$A:$C,3,0)="ST1",H246*I246*G246,IF(VLOOKUP(TRIM('DL 1'!G247),Data!$A:$C,3,0)="IR0",H246*G246,MIN(H246:I246)*G246)),0)</f>
        <v>0</v>
      </c>
      <c r="K246" t="e">
        <f>_xlfn.IFNA(VLOOKUP(TRIM(#REF!),Data!$A:$D,4,0)*#REF!,0)</f>
        <v>#REF!</v>
      </c>
      <c r="L246">
        <f>IF(TRIM('DL 1'!G247)="EDCLNHT0IRNLI",20000,0)</f>
        <v>0</v>
      </c>
      <c r="M246">
        <f>IF(ISERROR(MATCH('DL 1'!A247,#REF!,0)),0,J246*2)</f>
        <v>0</v>
      </c>
      <c r="N246" t="e">
        <f>#REF!</f>
        <v>#REF!</v>
      </c>
      <c r="O246">
        <f>_xlfn.IFNA(VLOOKUP(RIGHT(VLOOKUP(TRIM('DL 1'!G247),Data!$A:$B,2,0),1),Data!$L$23:$M$30,2,0),0)</f>
        <v>0</v>
      </c>
      <c r="P246">
        <f t="shared" si="40"/>
        <v>0</v>
      </c>
      <c r="Q246" s="7" t="b">
        <f t="shared" si="31"/>
        <v>0</v>
      </c>
      <c r="R246" s="27">
        <f>INCENTIVE!$E$8</f>
        <v>130000000</v>
      </c>
      <c r="S246">
        <f>'DL 1'!D247</f>
        <v>0</v>
      </c>
      <c r="T246" t="str">
        <f t="shared" si="32"/>
        <v>1</v>
      </c>
      <c r="V246" t="str">
        <f t="shared" si="33"/>
        <v>1</v>
      </c>
      <c r="W246">
        <f t="shared" si="34"/>
        <v>0.25</v>
      </c>
      <c r="X246" s="7">
        <f>'DL 1'!E247</f>
        <v>0</v>
      </c>
      <c r="Y246" s="69">
        <f>'DL 1'!G247</f>
        <v>0</v>
      </c>
      <c r="AC246" t="str">
        <f>IFERROR(VLOOKUP(Y246,Data!$G$65:$K$79,2,0) *X246,"")</f>
        <v/>
      </c>
      <c r="AD246" s="7">
        <f t="shared" si="35"/>
        <v>0</v>
      </c>
      <c r="AE246">
        <f>'DL 1'!F247</f>
        <v>0</v>
      </c>
      <c r="AF246" t="str">
        <f>IFERROR(VLOOKUP(Y246,Data!$G$65:$K$79,4,0),"")</f>
        <v/>
      </c>
      <c r="AG246" s="51" t="e">
        <f>#REF!</f>
        <v>#REF!</v>
      </c>
      <c r="AK246">
        <f t="shared" si="36"/>
        <v>0</v>
      </c>
      <c r="AL246">
        <f t="shared" si="37"/>
        <v>0</v>
      </c>
      <c r="AM246" s="70">
        <f t="shared" si="38"/>
        <v>0</v>
      </c>
      <c r="AN246" s="7" t="b">
        <f t="shared" si="39"/>
        <v>0</v>
      </c>
    </row>
    <row r="247" spans="1:40" x14ac:dyDescent="0.3">
      <c r="A247" s="50">
        <f>IF(D247="A",_xlfn.IFNA(INDEX(Data!$H$24:$J$28,MATCH('DL 1'!E248,Data!$G$24:$G$28,1),MATCH('DL 1'!D248,Data!$H$23:$J$23,1)),0),0)</f>
        <v>0</v>
      </c>
      <c r="B247">
        <f>IF('DL 1'!F248="Y",Q247,0)</f>
        <v>0</v>
      </c>
      <c r="C247" t="e">
        <f>_xlfn.IFNA(INDEX(Data!$H$24:$J$28,MATCH(#REF!,Data!$G$24:$G$28,1),MATCH(#REF!,Data!$H$23:$J$23,1)),0)</f>
        <v>#REF!</v>
      </c>
      <c r="D247" t="str">
        <f>RIGHT(TRIM('DL 1'!G248),1)</f>
        <v/>
      </c>
      <c r="E247" s="8">
        <f>'DL 1'!E248*'DL 1'!D248</f>
        <v>0</v>
      </c>
      <c r="F247" t="str">
        <f>_xlfn.IFNA(VLOOKUP(TRIM('DL 1'!G248),Data!$A:$C,3,0),"")</f>
        <v/>
      </c>
      <c r="G247" s="7">
        <f>'DL 1'!E248</f>
        <v>0</v>
      </c>
      <c r="H247" s="21">
        <f>_xlfn.IFNA(VLOOKUP(TRIM('DL 1'!G248),Data!$A:$D,4,0),0)</f>
        <v>0</v>
      </c>
      <c r="I247">
        <f>_xlfn.IFNA(INDEX(Data!$G$5:$K$10,MATCH('DL 1'!D248,Data!$F$5:$F$10,1),MATCH(_xlfn.SINGLE(#REF!),Data!$G$4:$K$4,1)),0)</f>
        <v>0</v>
      </c>
      <c r="J247">
        <f>_xlfn.IFNA(IF(VLOOKUP(TRIM('DL 1'!G248),Data!$A:$C,3,0)="ST1",H247*I247*G247,IF(VLOOKUP(TRIM('DL 1'!G248),Data!$A:$C,3,0)="IR0",H247*G247,MIN(H247:I247)*G247)),0)</f>
        <v>0</v>
      </c>
      <c r="K247" t="e">
        <f>_xlfn.IFNA(VLOOKUP(TRIM(#REF!),Data!$A:$D,4,0)*#REF!,0)</f>
        <v>#REF!</v>
      </c>
      <c r="L247">
        <f>IF(TRIM('DL 1'!G248)="EDCLNHT0IRNLI",20000,0)</f>
        <v>0</v>
      </c>
      <c r="M247">
        <f>IF(ISERROR(MATCH('DL 1'!A248,#REF!,0)),0,J247*2)</f>
        <v>0</v>
      </c>
      <c r="N247" t="e">
        <f>#REF!</f>
        <v>#REF!</v>
      </c>
      <c r="O247">
        <f>_xlfn.IFNA(VLOOKUP(RIGHT(VLOOKUP(TRIM('DL 1'!G248),Data!$A:$B,2,0),1),Data!$L$23:$M$30,2,0),0)</f>
        <v>0</v>
      </c>
      <c r="P247">
        <f t="shared" si="40"/>
        <v>0</v>
      </c>
      <c r="Q247" s="7" t="b">
        <f t="shared" si="31"/>
        <v>0</v>
      </c>
      <c r="R247" s="27">
        <f>INCENTIVE!$E$8</f>
        <v>130000000</v>
      </c>
      <c r="S247">
        <f>'DL 1'!D248</f>
        <v>0</v>
      </c>
      <c r="T247" t="str">
        <f t="shared" si="32"/>
        <v>1</v>
      </c>
      <c r="V247" t="str">
        <f t="shared" si="33"/>
        <v>1</v>
      </c>
      <c r="W247">
        <f t="shared" si="34"/>
        <v>0.25</v>
      </c>
      <c r="X247" s="7">
        <f>'DL 1'!E248</f>
        <v>0</v>
      </c>
      <c r="Y247" s="69">
        <f>'DL 1'!G248</f>
        <v>0</v>
      </c>
      <c r="AC247" t="str">
        <f>IFERROR(VLOOKUP(Y247,Data!$G$65:$K$79,2,0) *X247,"")</f>
        <v/>
      </c>
      <c r="AD247" s="7">
        <f t="shared" si="35"/>
        <v>0</v>
      </c>
      <c r="AE247">
        <f>'DL 1'!F248</f>
        <v>0</v>
      </c>
      <c r="AF247" t="str">
        <f>IFERROR(VLOOKUP(Y247,Data!$G$65:$K$79,4,0),"")</f>
        <v/>
      </c>
      <c r="AG247" s="51" t="e">
        <f>#REF!</f>
        <v>#REF!</v>
      </c>
      <c r="AK247">
        <f t="shared" si="36"/>
        <v>0</v>
      </c>
      <c r="AL247">
        <f t="shared" si="37"/>
        <v>0</v>
      </c>
      <c r="AM247" s="70">
        <f t="shared" si="38"/>
        <v>0</v>
      </c>
      <c r="AN247" s="7" t="b">
        <f t="shared" si="39"/>
        <v>0</v>
      </c>
    </row>
    <row r="248" spans="1:40" x14ac:dyDescent="0.3">
      <c r="A248" s="50">
        <f>IF(D248="A",_xlfn.IFNA(INDEX(Data!$H$24:$J$28,MATCH('DL 1'!E249,Data!$G$24:$G$28,1),MATCH('DL 1'!D249,Data!$H$23:$J$23,1)),0),0)</f>
        <v>0</v>
      </c>
      <c r="B248">
        <f>IF('DL 1'!F249="Y",Q248,0)</f>
        <v>0</v>
      </c>
      <c r="C248" t="e">
        <f>_xlfn.IFNA(INDEX(Data!$H$24:$J$28,MATCH(#REF!,Data!$G$24:$G$28,1),MATCH(#REF!,Data!$H$23:$J$23,1)),0)</f>
        <v>#REF!</v>
      </c>
      <c r="D248" t="str">
        <f>RIGHT(TRIM('DL 1'!G249),1)</f>
        <v/>
      </c>
      <c r="E248" s="8">
        <f>'DL 1'!E249*'DL 1'!D249</f>
        <v>0</v>
      </c>
      <c r="F248" t="str">
        <f>_xlfn.IFNA(VLOOKUP(TRIM('DL 1'!G249),Data!$A:$C,3,0),"")</f>
        <v/>
      </c>
      <c r="G248" s="7">
        <f>'DL 1'!E249</f>
        <v>0</v>
      </c>
      <c r="H248" s="21">
        <f>_xlfn.IFNA(VLOOKUP(TRIM('DL 1'!G249),Data!$A:$D,4,0),0)</f>
        <v>0</v>
      </c>
      <c r="I248">
        <f>_xlfn.IFNA(INDEX(Data!$G$5:$K$10,MATCH('DL 1'!D249,Data!$F$5:$F$10,1),MATCH(_xlfn.SINGLE(#REF!),Data!$G$4:$K$4,1)),0)</f>
        <v>0</v>
      </c>
      <c r="J248">
        <f>_xlfn.IFNA(IF(VLOOKUP(TRIM('DL 1'!G249),Data!$A:$C,3,0)="ST1",H248*I248*G248,IF(VLOOKUP(TRIM('DL 1'!G249),Data!$A:$C,3,0)="IR0",H248*G248,MIN(H248:I248)*G248)),0)</f>
        <v>0</v>
      </c>
      <c r="K248" t="e">
        <f>_xlfn.IFNA(VLOOKUP(TRIM(#REF!),Data!$A:$D,4,0)*#REF!,0)</f>
        <v>#REF!</v>
      </c>
      <c r="L248">
        <f>IF(TRIM('DL 1'!G249)="EDCLNHT0IRNLI",20000,0)</f>
        <v>0</v>
      </c>
      <c r="M248">
        <f>IF(ISERROR(MATCH('DL 1'!A249,#REF!,0)),0,J248*2)</f>
        <v>0</v>
      </c>
      <c r="N248" t="e">
        <f>#REF!</f>
        <v>#REF!</v>
      </c>
      <c r="O248">
        <f>_xlfn.IFNA(VLOOKUP(RIGHT(VLOOKUP(TRIM('DL 1'!G249),Data!$A:$B,2,0),1),Data!$L$23:$M$30,2,0),0)</f>
        <v>0</v>
      </c>
      <c r="P248">
        <f t="shared" si="40"/>
        <v>0</v>
      </c>
      <c r="Q248" s="7" t="b">
        <f t="shared" si="31"/>
        <v>0</v>
      </c>
      <c r="R248" s="27">
        <f>INCENTIVE!$E$8</f>
        <v>130000000</v>
      </c>
      <c r="S248">
        <f>'DL 1'!D249</f>
        <v>0</v>
      </c>
      <c r="T248" t="str">
        <f t="shared" si="32"/>
        <v>1</v>
      </c>
      <c r="V248" t="str">
        <f t="shared" si="33"/>
        <v>1</v>
      </c>
      <c r="W248">
        <f t="shared" si="34"/>
        <v>0.25</v>
      </c>
      <c r="X248" s="7">
        <f>'DL 1'!E249</f>
        <v>0</v>
      </c>
      <c r="Y248" s="69">
        <f>'DL 1'!G249</f>
        <v>0</v>
      </c>
      <c r="AC248" t="str">
        <f>IFERROR(VLOOKUP(Y248,Data!$G$65:$K$79,2,0) *X248,"")</f>
        <v/>
      </c>
      <c r="AD248" s="7">
        <f t="shared" si="35"/>
        <v>0</v>
      </c>
      <c r="AE248">
        <f>'DL 1'!F249</f>
        <v>0</v>
      </c>
      <c r="AF248" t="str">
        <f>IFERROR(VLOOKUP(Y248,Data!$G$65:$K$79,4,0),"")</f>
        <v/>
      </c>
      <c r="AG248" s="51" t="e">
        <f>#REF!</f>
        <v>#REF!</v>
      </c>
      <c r="AK248">
        <f t="shared" si="36"/>
        <v>0</v>
      </c>
      <c r="AL248">
        <f t="shared" si="37"/>
        <v>0</v>
      </c>
      <c r="AM248" s="70">
        <f t="shared" si="38"/>
        <v>0</v>
      </c>
      <c r="AN248" s="7" t="b">
        <f t="shared" si="39"/>
        <v>0</v>
      </c>
    </row>
    <row r="249" spans="1:40" x14ac:dyDescent="0.3">
      <c r="A249" s="50">
        <f>IF(D249="A",_xlfn.IFNA(INDEX(Data!$H$24:$J$28,MATCH('DL 1'!E250,Data!$G$24:$G$28,1),MATCH('DL 1'!D250,Data!$H$23:$J$23,1)),0),0)</f>
        <v>0</v>
      </c>
      <c r="B249">
        <f>IF('DL 1'!F250="Y",Q249,0)</f>
        <v>0</v>
      </c>
      <c r="C249" t="e">
        <f>_xlfn.IFNA(INDEX(Data!$H$24:$J$28,MATCH(#REF!,Data!$G$24:$G$28,1),MATCH(#REF!,Data!$H$23:$J$23,1)),0)</f>
        <v>#REF!</v>
      </c>
      <c r="D249" t="str">
        <f>RIGHT(TRIM('DL 1'!G250),1)</f>
        <v/>
      </c>
      <c r="E249" s="8">
        <f>'DL 1'!E250*'DL 1'!D250</f>
        <v>0</v>
      </c>
      <c r="F249" t="str">
        <f>_xlfn.IFNA(VLOOKUP(TRIM('DL 1'!G250),Data!$A:$C,3,0),"")</f>
        <v/>
      </c>
      <c r="G249" s="7">
        <f>'DL 1'!E250</f>
        <v>0</v>
      </c>
      <c r="H249" s="21">
        <f>_xlfn.IFNA(VLOOKUP(TRIM('DL 1'!G250),Data!$A:$D,4,0),0)</f>
        <v>0</v>
      </c>
      <c r="I249">
        <f>_xlfn.IFNA(INDEX(Data!$G$5:$K$10,MATCH('DL 1'!D250,Data!$F$5:$F$10,1),MATCH(_xlfn.SINGLE(#REF!),Data!$G$4:$K$4,1)),0)</f>
        <v>0</v>
      </c>
      <c r="J249">
        <f>_xlfn.IFNA(IF(VLOOKUP(TRIM('DL 1'!G250),Data!$A:$C,3,0)="ST1",H249*I249*G249,IF(VLOOKUP(TRIM('DL 1'!G250),Data!$A:$C,3,0)="IR0",H249*G249,MIN(H249:I249)*G249)),0)</f>
        <v>0</v>
      </c>
      <c r="K249" t="e">
        <f>_xlfn.IFNA(VLOOKUP(TRIM(#REF!),Data!$A:$D,4,0)*#REF!,0)</f>
        <v>#REF!</v>
      </c>
      <c r="L249">
        <f>IF(TRIM('DL 1'!G250)="EDCLNHT0IRNLI",20000,0)</f>
        <v>0</v>
      </c>
      <c r="M249">
        <f>IF(ISERROR(MATCH('DL 1'!A250,#REF!,0)),0,J249*2)</f>
        <v>0</v>
      </c>
      <c r="N249" t="e">
        <f>#REF!</f>
        <v>#REF!</v>
      </c>
      <c r="O249">
        <f>_xlfn.IFNA(VLOOKUP(RIGHT(VLOOKUP(TRIM('DL 1'!G250),Data!$A:$B,2,0),1),Data!$L$23:$M$30,2,0),0)</f>
        <v>0</v>
      </c>
      <c r="P249">
        <f t="shared" si="40"/>
        <v>0</v>
      </c>
      <c r="Q249" s="7" t="b">
        <f t="shared" si="31"/>
        <v>0</v>
      </c>
      <c r="R249" s="27">
        <f>INCENTIVE!$E$8</f>
        <v>130000000</v>
      </c>
      <c r="S249">
        <f>'DL 1'!D250</f>
        <v>0</v>
      </c>
      <c r="T249" t="str">
        <f t="shared" si="32"/>
        <v>1</v>
      </c>
      <c r="V249" t="str">
        <f t="shared" si="33"/>
        <v>1</v>
      </c>
      <c r="W249">
        <f t="shared" si="34"/>
        <v>0.25</v>
      </c>
      <c r="X249" s="7">
        <f>'DL 1'!E250</f>
        <v>0</v>
      </c>
      <c r="Y249" s="69">
        <f>'DL 1'!G250</f>
        <v>0</v>
      </c>
      <c r="AC249" t="str">
        <f>IFERROR(VLOOKUP(Y249,Data!$G$65:$K$79,2,0) *X249,"")</f>
        <v/>
      </c>
      <c r="AD249" s="7">
        <f t="shared" si="35"/>
        <v>0</v>
      </c>
      <c r="AE249">
        <f>'DL 1'!F250</f>
        <v>0</v>
      </c>
      <c r="AF249" t="str">
        <f>IFERROR(VLOOKUP(Y249,Data!$G$65:$K$79,4,0),"")</f>
        <v/>
      </c>
      <c r="AG249" s="51" t="e">
        <f>#REF!</f>
        <v>#REF!</v>
      </c>
      <c r="AK249">
        <f t="shared" si="36"/>
        <v>0</v>
      </c>
      <c r="AL249">
        <f t="shared" si="37"/>
        <v>0</v>
      </c>
      <c r="AM249" s="70">
        <f t="shared" si="38"/>
        <v>0</v>
      </c>
      <c r="AN249" s="7" t="b">
        <f t="shared" si="39"/>
        <v>0</v>
      </c>
    </row>
    <row r="250" spans="1:40" x14ac:dyDescent="0.3">
      <c r="A250" s="50">
        <f>IF(D250="A",_xlfn.IFNA(INDEX(Data!$H$24:$J$28,MATCH('DL 1'!E251,Data!$G$24:$G$28,1),MATCH('DL 1'!D251,Data!$H$23:$J$23,1)),0),0)</f>
        <v>0</v>
      </c>
      <c r="B250">
        <f>IF('DL 1'!F251="Y",Q250,0)</f>
        <v>0</v>
      </c>
      <c r="C250" t="e">
        <f>_xlfn.IFNA(INDEX(Data!$H$24:$J$28,MATCH(#REF!,Data!$G$24:$G$28,1),MATCH(#REF!,Data!$H$23:$J$23,1)),0)</f>
        <v>#REF!</v>
      </c>
      <c r="D250" t="str">
        <f>RIGHT(TRIM('DL 1'!G251),1)</f>
        <v/>
      </c>
      <c r="E250" s="8">
        <f>'DL 1'!E251*'DL 1'!D251</f>
        <v>0</v>
      </c>
      <c r="F250" t="str">
        <f>_xlfn.IFNA(VLOOKUP(TRIM('DL 1'!G251),Data!$A:$C,3,0),"")</f>
        <v/>
      </c>
      <c r="G250" s="7">
        <f>'DL 1'!E251</f>
        <v>0</v>
      </c>
      <c r="H250" s="21">
        <f>_xlfn.IFNA(VLOOKUP(TRIM('DL 1'!G251),Data!$A:$D,4,0),0)</f>
        <v>0</v>
      </c>
      <c r="I250">
        <f>_xlfn.IFNA(INDEX(Data!$G$5:$K$10,MATCH('DL 1'!D251,Data!$F$5:$F$10,1),MATCH(_xlfn.SINGLE(#REF!),Data!$G$4:$K$4,1)),0)</f>
        <v>0</v>
      </c>
      <c r="J250">
        <f>_xlfn.IFNA(IF(VLOOKUP(TRIM('DL 1'!G251),Data!$A:$C,3,0)="ST1",H250*I250*G250,IF(VLOOKUP(TRIM('DL 1'!G251),Data!$A:$C,3,0)="IR0",H250*G250,MIN(H250:I250)*G250)),0)</f>
        <v>0</v>
      </c>
      <c r="K250" t="e">
        <f>_xlfn.IFNA(VLOOKUP(TRIM(#REF!),Data!$A:$D,4,0)*#REF!,0)</f>
        <v>#REF!</v>
      </c>
      <c r="L250">
        <f>IF(TRIM('DL 1'!G251)="EDCLNHT0IRNLI",20000,0)</f>
        <v>0</v>
      </c>
      <c r="M250">
        <f>IF(ISERROR(MATCH('DL 1'!A251,#REF!,0)),0,J250*2)</f>
        <v>0</v>
      </c>
      <c r="N250" t="e">
        <f>#REF!</f>
        <v>#REF!</v>
      </c>
      <c r="O250">
        <f>_xlfn.IFNA(VLOOKUP(RIGHT(VLOOKUP(TRIM('DL 1'!G251),Data!$A:$B,2,0),1),Data!$L$23:$M$30,2,0),0)</f>
        <v>0</v>
      </c>
      <c r="P250">
        <f t="shared" si="40"/>
        <v>0</v>
      </c>
      <c r="Q250" s="7" t="b">
        <f t="shared" si="31"/>
        <v>0</v>
      </c>
      <c r="R250" s="27">
        <f>INCENTIVE!$E$8</f>
        <v>130000000</v>
      </c>
      <c r="S250">
        <f>'DL 1'!D251</f>
        <v>0</v>
      </c>
      <c r="T250" t="str">
        <f t="shared" si="32"/>
        <v>1</v>
      </c>
      <c r="V250" t="str">
        <f t="shared" si="33"/>
        <v>1</v>
      </c>
      <c r="W250">
        <f t="shared" si="34"/>
        <v>0.25</v>
      </c>
      <c r="X250" s="7">
        <f>'DL 1'!E251</f>
        <v>0</v>
      </c>
      <c r="Y250" s="69">
        <f>'DL 1'!G251</f>
        <v>0</v>
      </c>
      <c r="AC250" t="str">
        <f>IFERROR(VLOOKUP(Y250,Data!$G$65:$K$79,2,0) *X250,"")</f>
        <v/>
      </c>
      <c r="AD250" s="7">
        <f t="shared" si="35"/>
        <v>0</v>
      </c>
      <c r="AE250">
        <f>'DL 1'!F251</f>
        <v>0</v>
      </c>
      <c r="AF250" t="str">
        <f>IFERROR(VLOOKUP(Y250,Data!$G$65:$K$79,4,0),"")</f>
        <v/>
      </c>
      <c r="AG250" s="51" t="e">
        <f>#REF!</f>
        <v>#REF!</v>
      </c>
      <c r="AK250">
        <f t="shared" si="36"/>
        <v>0</v>
      </c>
      <c r="AL250">
        <f t="shared" si="37"/>
        <v>0</v>
      </c>
      <c r="AM250" s="70">
        <f t="shared" si="38"/>
        <v>0</v>
      </c>
      <c r="AN250" s="7" t="b">
        <f t="shared" si="39"/>
        <v>0</v>
      </c>
    </row>
    <row r="251" spans="1:40" x14ac:dyDescent="0.3">
      <c r="A251" s="50">
        <f>IF(D251="A",_xlfn.IFNA(INDEX(Data!$H$24:$J$28,MATCH('DL 1'!E252,Data!$G$24:$G$28,1),MATCH('DL 1'!D252,Data!$H$23:$J$23,1)),0),0)</f>
        <v>0</v>
      </c>
      <c r="B251">
        <f>IF('DL 1'!F252="Y",Q251,0)</f>
        <v>0</v>
      </c>
      <c r="C251" t="e">
        <f>_xlfn.IFNA(INDEX(Data!$H$24:$J$28,MATCH(#REF!,Data!$G$24:$G$28,1),MATCH(#REF!,Data!$H$23:$J$23,1)),0)</f>
        <v>#REF!</v>
      </c>
      <c r="D251" t="str">
        <f>RIGHT(TRIM('DL 1'!G252),1)</f>
        <v/>
      </c>
      <c r="E251" s="8">
        <f>'DL 1'!E252*'DL 1'!D252</f>
        <v>0</v>
      </c>
      <c r="F251" t="str">
        <f>_xlfn.IFNA(VLOOKUP(TRIM('DL 1'!G252),Data!$A:$C,3,0),"")</f>
        <v/>
      </c>
      <c r="G251" s="7">
        <f>'DL 1'!E252</f>
        <v>0</v>
      </c>
      <c r="H251" s="21">
        <f>_xlfn.IFNA(VLOOKUP(TRIM('DL 1'!G252),Data!$A:$D,4,0),0)</f>
        <v>0</v>
      </c>
      <c r="I251">
        <f>_xlfn.IFNA(INDEX(Data!$G$5:$K$10,MATCH('DL 1'!D252,Data!$F$5:$F$10,1),MATCH(_xlfn.SINGLE(#REF!),Data!$G$4:$K$4,1)),0)</f>
        <v>0</v>
      </c>
      <c r="J251">
        <f>_xlfn.IFNA(IF(VLOOKUP(TRIM('DL 1'!G252),Data!$A:$C,3,0)="ST1",H251*I251*G251,IF(VLOOKUP(TRIM('DL 1'!G252),Data!$A:$C,3,0)="IR0",H251*G251,MIN(H251:I251)*G251)),0)</f>
        <v>0</v>
      </c>
      <c r="K251" t="e">
        <f>_xlfn.IFNA(VLOOKUP(TRIM(#REF!),Data!$A:$D,4,0)*#REF!,0)</f>
        <v>#REF!</v>
      </c>
      <c r="L251">
        <f>IF(TRIM('DL 1'!G252)="EDCLNHT0IRNLI",20000,0)</f>
        <v>0</v>
      </c>
      <c r="M251">
        <f>IF(ISERROR(MATCH('DL 1'!A252,#REF!,0)),0,J251*2)</f>
        <v>0</v>
      </c>
      <c r="N251" t="e">
        <f>#REF!</f>
        <v>#REF!</v>
      </c>
      <c r="O251">
        <f>_xlfn.IFNA(VLOOKUP(RIGHT(VLOOKUP(TRIM('DL 1'!G252),Data!$A:$B,2,0),1),Data!$L$23:$M$30,2,0),0)</f>
        <v>0</v>
      </c>
      <c r="P251">
        <f t="shared" si="40"/>
        <v>0</v>
      </c>
      <c r="Q251" s="7" t="b">
        <f t="shared" si="31"/>
        <v>0</v>
      </c>
      <c r="R251" s="27">
        <f>INCENTIVE!$E$8</f>
        <v>130000000</v>
      </c>
      <c r="S251">
        <f>'DL 1'!D252</f>
        <v>0</v>
      </c>
      <c r="T251" t="str">
        <f t="shared" si="32"/>
        <v>1</v>
      </c>
      <c r="V251" t="str">
        <f t="shared" si="33"/>
        <v>1</v>
      </c>
      <c r="W251">
        <f t="shared" si="34"/>
        <v>0.25</v>
      </c>
      <c r="X251" s="7">
        <f>'DL 1'!E252</f>
        <v>0</v>
      </c>
      <c r="Y251" s="69">
        <f>'DL 1'!G252</f>
        <v>0</v>
      </c>
      <c r="AC251" t="str">
        <f>IFERROR(VLOOKUP(Y251,Data!$G$65:$K$79,2,0) *X251,"")</f>
        <v/>
      </c>
      <c r="AD251" s="7">
        <f t="shared" si="35"/>
        <v>0</v>
      </c>
      <c r="AE251">
        <f>'DL 1'!F252</f>
        <v>0</v>
      </c>
      <c r="AF251" t="str">
        <f>IFERROR(VLOOKUP(Y251,Data!$G$65:$K$79,4,0),"")</f>
        <v/>
      </c>
      <c r="AG251" s="51" t="e">
        <f>#REF!</f>
        <v>#REF!</v>
      </c>
      <c r="AK251">
        <f t="shared" si="36"/>
        <v>0</v>
      </c>
      <c r="AL251">
        <f t="shared" si="37"/>
        <v>0</v>
      </c>
      <c r="AM251" s="70">
        <f t="shared" si="38"/>
        <v>0</v>
      </c>
      <c r="AN251" s="7" t="b">
        <f t="shared" si="39"/>
        <v>0</v>
      </c>
    </row>
    <row r="252" spans="1:40" x14ac:dyDescent="0.3">
      <c r="A252" s="50">
        <f>IF(D252="A",_xlfn.IFNA(INDEX(Data!$H$24:$J$28,MATCH('DL 1'!E253,Data!$G$24:$G$28,1),MATCH('DL 1'!D253,Data!$H$23:$J$23,1)),0),0)</f>
        <v>0</v>
      </c>
      <c r="B252">
        <f>IF('DL 1'!F253="Y",Q252,0)</f>
        <v>0</v>
      </c>
      <c r="C252" t="e">
        <f>_xlfn.IFNA(INDEX(Data!$H$24:$J$28,MATCH(#REF!,Data!$G$24:$G$28,1),MATCH(#REF!,Data!$H$23:$J$23,1)),0)</f>
        <v>#REF!</v>
      </c>
      <c r="D252" t="str">
        <f>RIGHT(TRIM('DL 1'!G253),1)</f>
        <v/>
      </c>
      <c r="E252" s="8">
        <f>'DL 1'!E253*'DL 1'!D253</f>
        <v>0</v>
      </c>
      <c r="F252" t="str">
        <f>_xlfn.IFNA(VLOOKUP(TRIM('DL 1'!G253),Data!$A:$C,3,0),"")</f>
        <v/>
      </c>
      <c r="G252" s="7">
        <f>'DL 1'!E253</f>
        <v>0</v>
      </c>
      <c r="H252" s="21">
        <f>_xlfn.IFNA(VLOOKUP(TRIM('DL 1'!G253),Data!$A:$D,4,0),0)</f>
        <v>0</v>
      </c>
      <c r="I252">
        <f>_xlfn.IFNA(INDEX(Data!$G$5:$K$10,MATCH('DL 1'!D253,Data!$F$5:$F$10,1),MATCH(_xlfn.SINGLE(#REF!),Data!$G$4:$K$4,1)),0)</f>
        <v>0</v>
      </c>
      <c r="J252">
        <f>_xlfn.IFNA(IF(VLOOKUP(TRIM('DL 1'!G253),Data!$A:$C,3,0)="ST1",H252*I252*G252,IF(VLOOKUP(TRIM('DL 1'!G253),Data!$A:$C,3,0)="IR0",H252*G252,MIN(H252:I252)*G252)),0)</f>
        <v>0</v>
      </c>
      <c r="K252" t="e">
        <f>_xlfn.IFNA(VLOOKUP(TRIM(#REF!),Data!$A:$D,4,0)*#REF!,0)</f>
        <v>#REF!</v>
      </c>
      <c r="L252">
        <f>IF(TRIM('DL 1'!G253)="EDCLNHT0IRNLI",20000,0)</f>
        <v>0</v>
      </c>
      <c r="M252">
        <f>IF(ISERROR(MATCH('DL 1'!A253,#REF!,0)),0,J252*2)</f>
        <v>0</v>
      </c>
      <c r="N252" t="e">
        <f>#REF!</f>
        <v>#REF!</v>
      </c>
      <c r="O252">
        <f>_xlfn.IFNA(VLOOKUP(RIGHT(VLOOKUP(TRIM('DL 1'!G253),Data!$A:$B,2,0),1),Data!$L$23:$M$30,2,0),0)</f>
        <v>0</v>
      </c>
      <c r="P252">
        <f t="shared" si="40"/>
        <v>0</v>
      </c>
      <c r="Q252" s="7" t="b">
        <f t="shared" si="31"/>
        <v>0</v>
      </c>
      <c r="R252" s="27">
        <f>INCENTIVE!$E$8</f>
        <v>130000000</v>
      </c>
      <c r="S252">
        <f>'DL 1'!D253</f>
        <v>0</v>
      </c>
      <c r="T252" t="str">
        <f t="shared" si="32"/>
        <v>1</v>
      </c>
      <c r="V252" t="str">
        <f t="shared" si="33"/>
        <v>1</v>
      </c>
      <c r="W252">
        <f t="shared" si="34"/>
        <v>0.25</v>
      </c>
      <c r="X252" s="7">
        <f>'DL 1'!E253</f>
        <v>0</v>
      </c>
      <c r="Y252" s="69">
        <f>'DL 1'!G253</f>
        <v>0</v>
      </c>
      <c r="AC252" t="str">
        <f>IFERROR(VLOOKUP(Y252,Data!$G$65:$K$79,2,0) *X252,"")</f>
        <v/>
      </c>
      <c r="AD252" s="7">
        <f t="shared" si="35"/>
        <v>0</v>
      </c>
      <c r="AE252">
        <f>'DL 1'!F253</f>
        <v>0</v>
      </c>
      <c r="AF252" t="str">
        <f>IFERROR(VLOOKUP(Y252,Data!$G$65:$K$79,4,0),"")</f>
        <v/>
      </c>
      <c r="AG252" s="51" t="e">
        <f>#REF!</f>
        <v>#REF!</v>
      </c>
      <c r="AK252">
        <f t="shared" si="36"/>
        <v>0</v>
      </c>
      <c r="AL252">
        <f t="shared" si="37"/>
        <v>0</v>
      </c>
      <c r="AM252" s="70">
        <f t="shared" si="38"/>
        <v>0</v>
      </c>
      <c r="AN252" s="7" t="b">
        <f t="shared" si="39"/>
        <v>0</v>
      </c>
    </row>
    <row r="253" spans="1:40" x14ac:dyDescent="0.3">
      <c r="A253" s="50">
        <f>IF(D253="A",_xlfn.IFNA(INDEX(Data!$H$24:$J$28,MATCH('DL 1'!E254,Data!$G$24:$G$28,1),MATCH('DL 1'!D254,Data!$H$23:$J$23,1)),0),0)</f>
        <v>0</v>
      </c>
      <c r="B253">
        <f>IF('DL 1'!F254="Y",Q253,0)</f>
        <v>0</v>
      </c>
      <c r="C253" t="e">
        <f>_xlfn.IFNA(INDEX(Data!$H$24:$J$28,MATCH(#REF!,Data!$G$24:$G$28,1),MATCH(#REF!,Data!$H$23:$J$23,1)),0)</f>
        <v>#REF!</v>
      </c>
      <c r="D253" t="str">
        <f>RIGHT(TRIM('DL 1'!G254),1)</f>
        <v/>
      </c>
      <c r="E253" s="8">
        <f>'DL 1'!E254*'DL 1'!D254</f>
        <v>0</v>
      </c>
      <c r="F253" t="str">
        <f>_xlfn.IFNA(VLOOKUP(TRIM('DL 1'!G254),Data!$A:$C,3,0),"")</f>
        <v/>
      </c>
      <c r="G253" s="7">
        <f>'DL 1'!E254</f>
        <v>0</v>
      </c>
      <c r="H253" s="21">
        <f>_xlfn.IFNA(VLOOKUP(TRIM('DL 1'!G254),Data!$A:$D,4,0),0)</f>
        <v>0</v>
      </c>
      <c r="I253">
        <f>_xlfn.IFNA(INDEX(Data!$G$5:$K$10,MATCH('DL 1'!D254,Data!$F$5:$F$10,1),MATCH(_xlfn.SINGLE(#REF!),Data!$G$4:$K$4,1)),0)</f>
        <v>0</v>
      </c>
      <c r="J253">
        <f>_xlfn.IFNA(IF(VLOOKUP(TRIM('DL 1'!G254),Data!$A:$C,3,0)="ST1",H253*I253*G253,IF(VLOOKUP(TRIM('DL 1'!G254),Data!$A:$C,3,0)="IR0",H253*G253,MIN(H253:I253)*G253)),0)</f>
        <v>0</v>
      </c>
      <c r="K253" t="e">
        <f>_xlfn.IFNA(VLOOKUP(TRIM(#REF!),Data!$A:$D,4,0)*#REF!,0)</f>
        <v>#REF!</v>
      </c>
      <c r="L253">
        <f>IF(TRIM('DL 1'!G254)="EDCLNHT0IRNLI",20000,0)</f>
        <v>0</v>
      </c>
      <c r="M253">
        <f>IF(ISERROR(MATCH('DL 1'!A254,#REF!,0)),0,J253*2)</f>
        <v>0</v>
      </c>
      <c r="N253" t="e">
        <f>#REF!</f>
        <v>#REF!</v>
      </c>
      <c r="O253">
        <f>_xlfn.IFNA(VLOOKUP(RIGHT(VLOOKUP(TRIM('DL 1'!G254),Data!$A:$B,2,0),1),Data!$L$23:$M$30,2,0),0)</f>
        <v>0</v>
      </c>
      <c r="P253">
        <f t="shared" si="40"/>
        <v>0</v>
      </c>
      <c r="Q253" s="7" t="b">
        <f t="shared" si="31"/>
        <v>0</v>
      </c>
      <c r="R253" s="27">
        <f>INCENTIVE!$E$8</f>
        <v>130000000</v>
      </c>
      <c r="S253">
        <f>'DL 1'!D254</f>
        <v>0</v>
      </c>
      <c r="T253" t="str">
        <f t="shared" si="32"/>
        <v>1</v>
      </c>
      <c r="V253" t="str">
        <f t="shared" si="33"/>
        <v>1</v>
      </c>
      <c r="W253">
        <f t="shared" si="34"/>
        <v>0.25</v>
      </c>
      <c r="X253" s="7">
        <f>'DL 1'!E254</f>
        <v>0</v>
      </c>
      <c r="Y253" s="69">
        <f>'DL 1'!G254</f>
        <v>0</v>
      </c>
      <c r="AC253" t="str">
        <f>IFERROR(VLOOKUP(Y253,Data!$G$65:$K$79,2,0) *X253,"")</f>
        <v/>
      </c>
      <c r="AD253" s="7">
        <f t="shared" si="35"/>
        <v>0</v>
      </c>
      <c r="AE253">
        <f>'DL 1'!F254</f>
        <v>0</v>
      </c>
      <c r="AF253" t="str">
        <f>IFERROR(VLOOKUP(Y253,Data!$G$65:$K$79,4,0),"")</f>
        <v/>
      </c>
      <c r="AG253" s="51" t="e">
        <f>#REF!</f>
        <v>#REF!</v>
      </c>
      <c r="AK253">
        <f t="shared" si="36"/>
        <v>0</v>
      </c>
      <c r="AL253">
        <f t="shared" si="37"/>
        <v>0</v>
      </c>
      <c r="AM253" s="70">
        <f t="shared" si="38"/>
        <v>0</v>
      </c>
      <c r="AN253" s="7" t="b">
        <f t="shared" si="39"/>
        <v>0</v>
      </c>
    </row>
    <row r="254" spans="1:40" x14ac:dyDescent="0.3">
      <c r="A254" s="50">
        <f>IF(D254="A",_xlfn.IFNA(INDEX(Data!$H$24:$J$28,MATCH('DL 1'!E255,Data!$G$24:$G$28,1),MATCH('DL 1'!D255,Data!$H$23:$J$23,1)),0),0)</f>
        <v>0</v>
      </c>
      <c r="B254">
        <f>IF('DL 1'!F255="Y",Q254,0)</f>
        <v>0</v>
      </c>
      <c r="C254" t="e">
        <f>_xlfn.IFNA(INDEX(Data!$H$24:$J$28,MATCH(#REF!,Data!$G$24:$G$28,1),MATCH(#REF!,Data!$H$23:$J$23,1)),0)</f>
        <v>#REF!</v>
      </c>
      <c r="D254" t="str">
        <f>RIGHT(TRIM('DL 1'!G255),1)</f>
        <v/>
      </c>
      <c r="E254" s="8">
        <f>'DL 1'!E255*'DL 1'!D255</f>
        <v>0</v>
      </c>
      <c r="F254" t="str">
        <f>_xlfn.IFNA(VLOOKUP(TRIM('DL 1'!G255),Data!$A:$C,3,0),"")</f>
        <v/>
      </c>
      <c r="G254" s="7">
        <f>'DL 1'!E255</f>
        <v>0</v>
      </c>
      <c r="H254" s="21">
        <f>_xlfn.IFNA(VLOOKUP(TRIM('DL 1'!G255),Data!$A:$D,4,0),0)</f>
        <v>0</v>
      </c>
      <c r="I254">
        <f>_xlfn.IFNA(INDEX(Data!$G$5:$K$10,MATCH('DL 1'!D255,Data!$F$5:$F$10,1),MATCH(_xlfn.SINGLE(#REF!),Data!$G$4:$K$4,1)),0)</f>
        <v>0</v>
      </c>
      <c r="J254">
        <f>_xlfn.IFNA(IF(VLOOKUP(TRIM('DL 1'!G255),Data!$A:$C,3,0)="ST1",H254*I254*G254,IF(VLOOKUP(TRIM('DL 1'!G255),Data!$A:$C,3,0)="IR0",H254*G254,MIN(H254:I254)*G254)),0)</f>
        <v>0</v>
      </c>
      <c r="K254" t="e">
        <f>_xlfn.IFNA(VLOOKUP(TRIM(#REF!),Data!$A:$D,4,0)*#REF!,0)</f>
        <v>#REF!</v>
      </c>
      <c r="L254">
        <f>IF(TRIM('DL 1'!G255)="EDCLNHT0IRNLI",20000,0)</f>
        <v>0</v>
      </c>
      <c r="M254">
        <f>IF(ISERROR(MATCH('DL 1'!A255,#REF!,0)),0,J254*2)</f>
        <v>0</v>
      </c>
      <c r="N254" t="e">
        <f>#REF!</f>
        <v>#REF!</v>
      </c>
      <c r="O254">
        <f>_xlfn.IFNA(VLOOKUP(RIGHT(VLOOKUP(TRIM('DL 1'!G255),Data!$A:$B,2,0),1),Data!$L$23:$M$30,2,0),0)</f>
        <v>0</v>
      </c>
      <c r="P254">
        <f t="shared" si="40"/>
        <v>0</v>
      </c>
      <c r="Q254" s="7" t="b">
        <f t="shared" si="31"/>
        <v>0</v>
      </c>
      <c r="R254" s="27">
        <f>INCENTIVE!$E$8</f>
        <v>130000000</v>
      </c>
      <c r="S254">
        <f>'DL 1'!D255</f>
        <v>0</v>
      </c>
      <c r="T254" t="str">
        <f t="shared" si="32"/>
        <v>1</v>
      </c>
      <c r="V254" t="str">
        <f t="shared" si="33"/>
        <v>1</v>
      </c>
      <c r="W254">
        <f t="shared" si="34"/>
        <v>0.25</v>
      </c>
      <c r="X254" s="7">
        <f>'DL 1'!E255</f>
        <v>0</v>
      </c>
      <c r="Y254" s="69">
        <f>'DL 1'!G255</f>
        <v>0</v>
      </c>
      <c r="AC254" t="str">
        <f>IFERROR(VLOOKUP(Y254,Data!$G$65:$K$79,2,0) *X254,"")</f>
        <v/>
      </c>
      <c r="AD254" s="7">
        <f t="shared" si="35"/>
        <v>0</v>
      </c>
      <c r="AE254">
        <f>'DL 1'!F255</f>
        <v>0</v>
      </c>
      <c r="AF254" t="str">
        <f>IFERROR(VLOOKUP(Y254,Data!$G$65:$K$79,4,0),"")</f>
        <v/>
      </c>
      <c r="AG254" s="51" t="e">
        <f>#REF!</f>
        <v>#REF!</v>
      </c>
      <c r="AK254">
        <f t="shared" si="36"/>
        <v>0</v>
      </c>
      <c r="AL254">
        <f t="shared" si="37"/>
        <v>0</v>
      </c>
      <c r="AM254" s="70">
        <f t="shared" si="38"/>
        <v>0</v>
      </c>
      <c r="AN254" s="7" t="b">
        <f t="shared" si="39"/>
        <v>0</v>
      </c>
    </row>
    <row r="255" spans="1:40" x14ac:dyDescent="0.3">
      <c r="A255" s="50">
        <f>IF(D255="A",_xlfn.IFNA(INDEX(Data!$H$24:$J$28,MATCH('DL 1'!E256,Data!$G$24:$G$28,1),MATCH('DL 1'!D256,Data!$H$23:$J$23,1)),0),0)</f>
        <v>0</v>
      </c>
      <c r="B255">
        <f>IF('DL 1'!F256="Y",Q255,0)</f>
        <v>0</v>
      </c>
      <c r="C255" t="e">
        <f>_xlfn.IFNA(INDEX(Data!$H$24:$J$28,MATCH(#REF!,Data!$G$24:$G$28,1),MATCH(#REF!,Data!$H$23:$J$23,1)),0)</f>
        <v>#REF!</v>
      </c>
      <c r="D255" t="str">
        <f>RIGHT(TRIM('DL 1'!G256),1)</f>
        <v/>
      </c>
      <c r="E255" s="8">
        <f>'DL 1'!E256*'DL 1'!D256</f>
        <v>0</v>
      </c>
      <c r="F255" t="str">
        <f>_xlfn.IFNA(VLOOKUP(TRIM('DL 1'!G256),Data!$A:$C,3,0),"")</f>
        <v/>
      </c>
      <c r="G255" s="7">
        <f>'DL 1'!E256</f>
        <v>0</v>
      </c>
      <c r="H255" s="21">
        <f>_xlfn.IFNA(VLOOKUP(TRIM('DL 1'!G256),Data!$A:$D,4,0),0)</f>
        <v>0</v>
      </c>
      <c r="I255">
        <f>_xlfn.IFNA(INDEX(Data!$G$5:$K$10,MATCH('DL 1'!D256,Data!$F$5:$F$10,1),MATCH(_xlfn.SINGLE(#REF!),Data!$G$4:$K$4,1)),0)</f>
        <v>0</v>
      </c>
      <c r="J255">
        <f>_xlfn.IFNA(IF(VLOOKUP(TRIM('DL 1'!G256),Data!$A:$C,3,0)="ST1",H255*I255*G255,IF(VLOOKUP(TRIM('DL 1'!G256),Data!$A:$C,3,0)="IR0",H255*G255,MIN(H255:I255)*G255)),0)</f>
        <v>0</v>
      </c>
      <c r="K255" t="e">
        <f>_xlfn.IFNA(VLOOKUP(TRIM(#REF!),Data!$A:$D,4,0)*#REF!,0)</f>
        <v>#REF!</v>
      </c>
      <c r="L255">
        <f>IF(TRIM('DL 1'!G256)="EDCLNHT0IRNLI",20000,0)</f>
        <v>0</v>
      </c>
      <c r="M255">
        <f>IF(ISERROR(MATCH('DL 1'!A256,#REF!,0)),0,J255*2)</f>
        <v>0</v>
      </c>
      <c r="N255" t="e">
        <f>#REF!</f>
        <v>#REF!</v>
      </c>
      <c r="O255">
        <f>_xlfn.IFNA(VLOOKUP(RIGHT(VLOOKUP(TRIM('DL 1'!G256),Data!$A:$B,2,0),1),Data!$L$23:$M$30,2,0),0)</f>
        <v>0</v>
      </c>
      <c r="P255">
        <f t="shared" si="40"/>
        <v>0</v>
      </c>
      <c r="Q255" s="7" t="b">
        <f t="shared" si="31"/>
        <v>0</v>
      </c>
      <c r="R255" s="27">
        <f>INCENTIVE!$E$8</f>
        <v>130000000</v>
      </c>
      <c r="S255">
        <f>'DL 1'!D256</f>
        <v>0</v>
      </c>
      <c r="T255" t="str">
        <f t="shared" si="32"/>
        <v>1</v>
      </c>
      <c r="V255" t="str">
        <f t="shared" si="33"/>
        <v>1</v>
      </c>
      <c r="W255">
        <f t="shared" si="34"/>
        <v>0.25</v>
      </c>
      <c r="X255" s="7">
        <f>'DL 1'!E256</f>
        <v>0</v>
      </c>
      <c r="Y255" s="69">
        <f>'DL 1'!G256</f>
        <v>0</v>
      </c>
      <c r="AC255" t="str">
        <f>IFERROR(VLOOKUP(Y255,Data!$G$65:$K$79,2,0) *X255,"")</f>
        <v/>
      </c>
      <c r="AD255" s="7">
        <f t="shared" si="35"/>
        <v>0</v>
      </c>
      <c r="AE255">
        <f>'DL 1'!F256</f>
        <v>0</v>
      </c>
      <c r="AF255" t="str">
        <f>IFERROR(VLOOKUP(Y255,Data!$G$65:$K$79,4,0),"")</f>
        <v/>
      </c>
      <c r="AG255" s="51" t="e">
        <f>#REF!</f>
        <v>#REF!</v>
      </c>
      <c r="AK255">
        <f t="shared" si="36"/>
        <v>0</v>
      </c>
      <c r="AL255">
        <f t="shared" si="37"/>
        <v>0</v>
      </c>
      <c r="AM255" s="70">
        <f t="shared" si="38"/>
        <v>0</v>
      </c>
      <c r="AN255" s="7" t="b">
        <f t="shared" si="39"/>
        <v>0</v>
      </c>
    </row>
    <row r="256" spans="1:40" x14ac:dyDescent="0.3">
      <c r="A256" s="50">
        <f>IF(D256="A",_xlfn.IFNA(INDEX(Data!$H$24:$J$28,MATCH('DL 1'!E257,Data!$G$24:$G$28,1),MATCH('DL 1'!D257,Data!$H$23:$J$23,1)),0),0)</f>
        <v>0</v>
      </c>
      <c r="B256">
        <f>IF('DL 1'!F257="Y",Q256,0)</f>
        <v>0</v>
      </c>
      <c r="C256" t="e">
        <f>_xlfn.IFNA(INDEX(Data!$H$24:$J$28,MATCH(#REF!,Data!$G$24:$G$28,1),MATCH(#REF!,Data!$H$23:$J$23,1)),0)</f>
        <v>#REF!</v>
      </c>
      <c r="D256" t="str">
        <f>RIGHT(TRIM('DL 1'!G257),1)</f>
        <v/>
      </c>
      <c r="E256" s="8">
        <f>'DL 1'!E257*'DL 1'!D257</f>
        <v>0</v>
      </c>
      <c r="F256" t="str">
        <f>_xlfn.IFNA(VLOOKUP(TRIM('DL 1'!G257),Data!$A:$C,3,0),"")</f>
        <v/>
      </c>
      <c r="G256" s="7">
        <f>'DL 1'!E257</f>
        <v>0</v>
      </c>
      <c r="H256" s="21">
        <f>_xlfn.IFNA(VLOOKUP(TRIM('DL 1'!G257),Data!$A:$D,4,0),0)</f>
        <v>0</v>
      </c>
      <c r="I256">
        <f>_xlfn.IFNA(INDEX(Data!$G$5:$K$10,MATCH('DL 1'!D257,Data!$F$5:$F$10,1),MATCH(_xlfn.SINGLE(#REF!),Data!$G$4:$K$4,1)),0)</f>
        <v>0</v>
      </c>
      <c r="J256">
        <f>_xlfn.IFNA(IF(VLOOKUP(TRIM('DL 1'!G257),Data!$A:$C,3,0)="ST1",H256*I256*G256,IF(VLOOKUP(TRIM('DL 1'!G257),Data!$A:$C,3,0)="IR0",H256*G256,MIN(H256:I256)*G256)),0)</f>
        <v>0</v>
      </c>
      <c r="K256" t="e">
        <f>_xlfn.IFNA(VLOOKUP(TRIM(#REF!),Data!$A:$D,4,0)*#REF!,0)</f>
        <v>#REF!</v>
      </c>
      <c r="L256">
        <f>IF(TRIM('DL 1'!G257)="EDCLNHT0IRNLI",20000,0)</f>
        <v>0</v>
      </c>
      <c r="M256">
        <f>IF(ISERROR(MATCH('DL 1'!A257,#REF!,0)),0,J256*2)</f>
        <v>0</v>
      </c>
      <c r="N256" t="e">
        <f>#REF!</f>
        <v>#REF!</v>
      </c>
      <c r="O256">
        <f>_xlfn.IFNA(VLOOKUP(RIGHT(VLOOKUP(TRIM('DL 1'!G257),Data!$A:$B,2,0),1),Data!$L$23:$M$30,2,0),0)</f>
        <v>0</v>
      </c>
      <c r="P256">
        <f t="shared" si="40"/>
        <v>0</v>
      </c>
      <c r="Q256" s="7" t="b">
        <f t="shared" si="31"/>
        <v>0</v>
      </c>
      <c r="R256" s="27">
        <f>INCENTIVE!$E$8</f>
        <v>130000000</v>
      </c>
      <c r="S256">
        <f>'DL 1'!D257</f>
        <v>0</v>
      </c>
      <c r="T256" t="str">
        <f t="shared" si="32"/>
        <v>1</v>
      </c>
      <c r="V256" t="str">
        <f t="shared" si="33"/>
        <v>1</v>
      </c>
      <c r="W256">
        <f t="shared" si="34"/>
        <v>0.25</v>
      </c>
      <c r="X256" s="7">
        <f>'DL 1'!E257</f>
        <v>0</v>
      </c>
      <c r="Y256" s="69">
        <f>'DL 1'!G257</f>
        <v>0</v>
      </c>
      <c r="AC256" t="str">
        <f>IFERROR(VLOOKUP(Y256,Data!$G$65:$K$79,2,0) *X256,"")</f>
        <v/>
      </c>
      <c r="AD256" s="7">
        <f t="shared" si="35"/>
        <v>0</v>
      </c>
      <c r="AE256">
        <f>'DL 1'!F257</f>
        <v>0</v>
      </c>
      <c r="AF256" t="str">
        <f>IFERROR(VLOOKUP(Y256,Data!$G$65:$K$79,4,0),"")</f>
        <v/>
      </c>
      <c r="AG256" s="51" t="e">
        <f>#REF!</f>
        <v>#REF!</v>
      </c>
      <c r="AK256">
        <f t="shared" si="36"/>
        <v>0</v>
      </c>
      <c r="AL256">
        <f t="shared" si="37"/>
        <v>0</v>
      </c>
      <c r="AM256" s="70">
        <f t="shared" si="38"/>
        <v>0</v>
      </c>
      <c r="AN256" s="7" t="b">
        <f t="shared" si="39"/>
        <v>0</v>
      </c>
    </row>
    <row r="257" spans="1:40" x14ac:dyDescent="0.3">
      <c r="A257" s="50">
        <f>IF(D257="A",_xlfn.IFNA(INDEX(Data!$H$24:$J$28,MATCH('DL 1'!E258,Data!$G$24:$G$28,1),MATCH('DL 1'!D258,Data!$H$23:$J$23,1)),0),0)</f>
        <v>0</v>
      </c>
      <c r="B257">
        <f>IF('DL 1'!F258="Y",Q257,0)</f>
        <v>0</v>
      </c>
      <c r="C257" t="e">
        <f>_xlfn.IFNA(INDEX(Data!$H$24:$J$28,MATCH(#REF!,Data!$G$24:$G$28,1),MATCH(#REF!,Data!$H$23:$J$23,1)),0)</f>
        <v>#REF!</v>
      </c>
      <c r="D257" t="str">
        <f>RIGHT(TRIM('DL 1'!G258),1)</f>
        <v/>
      </c>
      <c r="E257" s="8">
        <f>'DL 1'!E258*'DL 1'!D258</f>
        <v>0</v>
      </c>
      <c r="F257" t="str">
        <f>_xlfn.IFNA(VLOOKUP(TRIM('DL 1'!G258),Data!$A:$C,3,0),"")</f>
        <v/>
      </c>
      <c r="G257" s="7">
        <f>'DL 1'!E258</f>
        <v>0</v>
      </c>
      <c r="H257" s="21">
        <f>_xlfn.IFNA(VLOOKUP(TRIM('DL 1'!G258),Data!$A:$D,4,0),0)</f>
        <v>0</v>
      </c>
      <c r="I257">
        <f>_xlfn.IFNA(INDEX(Data!$G$5:$K$10,MATCH('DL 1'!D258,Data!$F$5:$F$10,1),MATCH(_xlfn.SINGLE(#REF!),Data!$G$4:$K$4,1)),0)</f>
        <v>0</v>
      </c>
      <c r="J257">
        <f>_xlfn.IFNA(IF(VLOOKUP(TRIM('DL 1'!G258),Data!$A:$C,3,0)="ST1",H257*I257*G257,IF(VLOOKUP(TRIM('DL 1'!G258),Data!$A:$C,3,0)="IR0",H257*G257,MIN(H257:I257)*G257)),0)</f>
        <v>0</v>
      </c>
      <c r="K257" t="e">
        <f>_xlfn.IFNA(VLOOKUP(TRIM(#REF!),Data!$A:$D,4,0)*#REF!,0)</f>
        <v>#REF!</v>
      </c>
      <c r="L257">
        <f>IF(TRIM('DL 1'!G258)="EDCLNHT0IRNLI",20000,0)</f>
        <v>0</v>
      </c>
      <c r="M257">
        <f>IF(ISERROR(MATCH('DL 1'!A258,#REF!,0)),0,J257*2)</f>
        <v>0</v>
      </c>
      <c r="N257" t="e">
        <f>#REF!</f>
        <v>#REF!</v>
      </c>
      <c r="O257">
        <f>_xlfn.IFNA(VLOOKUP(RIGHT(VLOOKUP(TRIM('DL 1'!G258),Data!$A:$B,2,0),1),Data!$L$23:$M$30,2,0),0)</f>
        <v>0</v>
      </c>
      <c r="P257">
        <f t="shared" si="40"/>
        <v>0</v>
      </c>
      <c r="Q257" s="7" t="b">
        <f t="shared" si="31"/>
        <v>0</v>
      </c>
      <c r="R257" s="27">
        <f>INCENTIVE!$E$8</f>
        <v>130000000</v>
      </c>
      <c r="S257">
        <f>'DL 1'!D258</f>
        <v>0</v>
      </c>
      <c r="T257" t="str">
        <f t="shared" si="32"/>
        <v>1</v>
      </c>
      <c r="V257" t="str">
        <f t="shared" si="33"/>
        <v>1</v>
      </c>
      <c r="W257">
        <f t="shared" si="34"/>
        <v>0.25</v>
      </c>
      <c r="X257" s="7">
        <f>'DL 1'!E258</f>
        <v>0</v>
      </c>
      <c r="Y257" s="69">
        <f>'DL 1'!G258</f>
        <v>0</v>
      </c>
      <c r="AC257" t="str">
        <f>IFERROR(VLOOKUP(Y257,Data!$G$65:$K$79,2,0) *X257,"")</f>
        <v/>
      </c>
      <c r="AD257" s="7">
        <f t="shared" si="35"/>
        <v>0</v>
      </c>
      <c r="AE257">
        <f>'DL 1'!F258</f>
        <v>0</v>
      </c>
      <c r="AF257" t="str">
        <f>IFERROR(VLOOKUP(Y257,Data!$G$65:$K$79,4,0),"")</f>
        <v/>
      </c>
      <c r="AG257" s="51" t="e">
        <f>#REF!</f>
        <v>#REF!</v>
      </c>
      <c r="AK257">
        <f t="shared" si="36"/>
        <v>0</v>
      </c>
      <c r="AL257">
        <f t="shared" si="37"/>
        <v>0</v>
      </c>
      <c r="AM257" s="70">
        <f t="shared" si="38"/>
        <v>0</v>
      </c>
      <c r="AN257" s="7" t="b">
        <f t="shared" si="39"/>
        <v>0</v>
      </c>
    </row>
    <row r="258" spans="1:40" x14ac:dyDescent="0.3">
      <c r="A258" s="50">
        <f>IF(D258="A",_xlfn.IFNA(INDEX(Data!$H$24:$J$28,MATCH('DL 1'!E259,Data!$G$24:$G$28,1),MATCH('DL 1'!D259,Data!$H$23:$J$23,1)),0),0)</f>
        <v>0</v>
      </c>
      <c r="B258">
        <f>IF('DL 1'!F259="Y",Q258,0)</f>
        <v>0</v>
      </c>
      <c r="C258" t="e">
        <f>_xlfn.IFNA(INDEX(Data!$H$24:$J$28,MATCH(#REF!,Data!$G$24:$G$28,1),MATCH(#REF!,Data!$H$23:$J$23,1)),0)</f>
        <v>#REF!</v>
      </c>
      <c r="D258" t="str">
        <f>RIGHT(TRIM('DL 1'!G259),1)</f>
        <v/>
      </c>
      <c r="E258" s="8">
        <f>'DL 1'!E259*'DL 1'!D259</f>
        <v>0</v>
      </c>
      <c r="F258" t="str">
        <f>_xlfn.IFNA(VLOOKUP(TRIM('DL 1'!G259),Data!$A:$C,3,0),"")</f>
        <v/>
      </c>
      <c r="G258" s="7">
        <f>'DL 1'!E259</f>
        <v>0</v>
      </c>
      <c r="H258" s="21">
        <f>_xlfn.IFNA(VLOOKUP(TRIM('DL 1'!G259),Data!$A:$D,4,0),0)</f>
        <v>0</v>
      </c>
      <c r="I258">
        <f>_xlfn.IFNA(INDEX(Data!$G$5:$K$10,MATCH('DL 1'!D259,Data!$F$5:$F$10,1),MATCH(_xlfn.SINGLE(#REF!),Data!$G$4:$K$4,1)),0)</f>
        <v>0</v>
      </c>
      <c r="J258">
        <f>_xlfn.IFNA(IF(VLOOKUP(TRIM('DL 1'!G259),Data!$A:$C,3,0)="ST1",H258*I258*G258,IF(VLOOKUP(TRIM('DL 1'!G259),Data!$A:$C,3,0)="IR0",H258*G258,MIN(H258:I258)*G258)),0)</f>
        <v>0</v>
      </c>
      <c r="K258" t="e">
        <f>_xlfn.IFNA(VLOOKUP(TRIM(#REF!),Data!$A:$D,4,0)*#REF!,0)</f>
        <v>#REF!</v>
      </c>
      <c r="L258">
        <f>IF(TRIM('DL 1'!G259)="EDCLNHT0IRNLI",20000,0)</f>
        <v>0</v>
      </c>
      <c r="M258">
        <f>IF(ISERROR(MATCH('DL 1'!A259,#REF!,0)),0,J258*2)</f>
        <v>0</v>
      </c>
      <c r="N258" t="e">
        <f>#REF!</f>
        <v>#REF!</v>
      </c>
      <c r="O258">
        <f>_xlfn.IFNA(VLOOKUP(RIGHT(VLOOKUP(TRIM('DL 1'!G259),Data!$A:$B,2,0),1),Data!$L$23:$M$30,2,0),0)</f>
        <v>0</v>
      </c>
      <c r="P258">
        <f t="shared" si="40"/>
        <v>0</v>
      </c>
      <c r="Q258" s="7" t="b">
        <f t="shared" si="31"/>
        <v>0</v>
      </c>
      <c r="R258" s="27">
        <f>INCENTIVE!$E$8</f>
        <v>130000000</v>
      </c>
      <c r="S258">
        <f>'DL 1'!D259</f>
        <v>0</v>
      </c>
      <c r="T258" t="str">
        <f t="shared" si="32"/>
        <v>1</v>
      </c>
      <c r="V258" t="str">
        <f t="shared" si="33"/>
        <v>1</v>
      </c>
      <c r="W258">
        <f t="shared" si="34"/>
        <v>0.25</v>
      </c>
      <c r="X258" s="7">
        <f>'DL 1'!E259</f>
        <v>0</v>
      </c>
      <c r="Y258" s="69">
        <f>'DL 1'!G259</f>
        <v>0</v>
      </c>
      <c r="AC258" t="str">
        <f>IFERROR(VLOOKUP(Y258,Data!$G$65:$K$79,2,0) *X258,"")</f>
        <v/>
      </c>
      <c r="AD258" s="7">
        <f t="shared" si="35"/>
        <v>0</v>
      </c>
      <c r="AE258">
        <f>'DL 1'!F259</f>
        <v>0</v>
      </c>
      <c r="AF258" t="str">
        <f>IFERROR(VLOOKUP(Y258,Data!$G$65:$K$79,4,0),"")</f>
        <v/>
      </c>
      <c r="AG258" s="51" t="e">
        <f>#REF!</f>
        <v>#REF!</v>
      </c>
      <c r="AK258">
        <f t="shared" si="36"/>
        <v>0</v>
      </c>
      <c r="AL258">
        <f t="shared" si="37"/>
        <v>0</v>
      </c>
      <c r="AM258" s="70">
        <f t="shared" si="38"/>
        <v>0</v>
      </c>
      <c r="AN258" s="7" t="b">
        <f t="shared" si="39"/>
        <v>0</v>
      </c>
    </row>
    <row r="259" spans="1:40" x14ac:dyDescent="0.3">
      <c r="A259" s="50">
        <f>IF(D259="A",_xlfn.IFNA(INDEX(Data!$H$24:$J$28,MATCH('DL 1'!E260,Data!$G$24:$G$28,1),MATCH('DL 1'!D260,Data!$H$23:$J$23,1)),0),0)</f>
        <v>0</v>
      </c>
      <c r="B259">
        <f>IF('DL 1'!F260="Y",Q259,0)</f>
        <v>0</v>
      </c>
      <c r="C259" t="e">
        <f>_xlfn.IFNA(INDEX(Data!$H$24:$J$28,MATCH(#REF!,Data!$G$24:$G$28,1),MATCH(#REF!,Data!$H$23:$J$23,1)),0)</f>
        <v>#REF!</v>
      </c>
      <c r="D259" t="str">
        <f>RIGHT(TRIM('DL 1'!G260),1)</f>
        <v/>
      </c>
      <c r="E259" s="8">
        <f>'DL 1'!E260*'DL 1'!D260</f>
        <v>0</v>
      </c>
      <c r="F259" t="str">
        <f>_xlfn.IFNA(VLOOKUP(TRIM('DL 1'!G260),Data!$A:$C,3,0),"")</f>
        <v/>
      </c>
      <c r="G259" s="7">
        <f>'DL 1'!E260</f>
        <v>0</v>
      </c>
      <c r="H259" s="21">
        <f>_xlfn.IFNA(VLOOKUP(TRIM('DL 1'!G260),Data!$A:$D,4,0),0)</f>
        <v>0</v>
      </c>
      <c r="I259">
        <f>_xlfn.IFNA(INDEX(Data!$G$5:$K$10,MATCH('DL 1'!D260,Data!$F$5:$F$10,1),MATCH(_xlfn.SINGLE(#REF!),Data!$G$4:$K$4,1)),0)</f>
        <v>0</v>
      </c>
      <c r="J259">
        <f>_xlfn.IFNA(IF(VLOOKUP(TRIM('DL 1'!G260),Data!$A:$C,3,0)="ST1",H259*I259*G259,IF(VLOOKUP(TRIM('DL 1'!G260),Data!$A:$C,3,0)="IR0",H259*G259,MIN(H259:I259)*G259)),0)</f>
        <v>0</v>
      </c>
      <c r="K259" t="e">
        <f>_xlfn.IFNA(VLOOKUP(TRIM(#REF!),Data!$A:$D,4,0)*#REF!,0)</f>
        <v>#REF!</v>
      </c>
      <c r="L259">
        <f>IF(TRIM('DL 1'!G260)="EDCLNHT0IRNLI",20000,0)</f>
        <v>0</v>
      </c>
      <c r="M259">
        <f>IF(ISERROR(MATCH('DL 1'!A260,#REF!,0)),0,J259*2)</f>
        <v>0</v>
      </c>
      <c r="N259" t="e">
        <f>#REF!</f>
        <v>#REF!</v>
      </c>
      <c r="O259">
        <f>_xlfn.IFNA(VLOOKUP(RIGHT(VLOOKUP(TRIM('DL 1'!G260),Data!$A:$B,2,0),1),Data!$L$23:$M$30,2,0),0)</f>
        <v>0</v>
      </c>
      <c r="P259">
        <f t="shared" si="40"/>
        <v>0</v>
      </c>
      <c r="Q259" s="7" t="b">
        <f t="shared" ref="Q259:Q322" si="41">IF(AND(P259=1,S259&lt;15),10000,IF(AND(P259=1,S259&gt;=15,S259&lt;18),15000,IF(AND(P259=1,S259&gt;=18),20000,(IF(AND(P259=2,S259&lt;15),18000,IF(AND(P259=2,S259&gt;=15,S259&lt;18),23000,IF(AND(P259=2,S259&gt;=18),28000,IF(AND(P259=3,S259&lt;15),26000,IF(AND(P259=3,S259&gt;=15,S259&lt;18),31000,IF(AND(P259=3,S259&gt;=18),36000,IF(AND(P259=4,S259&lt;15),34000,IF(AND(P259=4,S259&gt;=15,S259&lt;18),39000,IF(AND(P259=4,S259&gt;=18),44000)))))))))))))</f>
        <v>0</v>
      </c>
      <c r="R259" s="27">
        <f>INCENTIVE!$E$8</f>
        <v>130000000</v>
      </c>
      <c r="S259">
        <f>'DL 1'!D260</f>
        <v>0</v>
      </c>
      <c r="T259" t="str">
        <f t="shared" ref="T259:T322" si="42">(IF(S259&gt;=24,"5",IF(S259&gt;=18,"4",IF(S259&gt;=15,"3",IF(S259&gt;=12,"2","1")))))</f>
        <v>1</v>
      </c>
      <c r="V259" t="str">
        <f t="shared" ref="V259:V322" si="43">(IF(S259&gt;=12,"6",IF(S259&gt;=9,"5",IF(S259&gt;=8,"4",IF(S259&gt;=7,"3",IF(S259=6,"2","1"))))))</f>
        <v>1</v>
      </c>
      <c r="W259">
        <f t="shared" ref="W259:W322" si="44">IF(AND(V259="6",R259&gt;=7.7),115%,IF(AND(V259="6",R259&gt;=7.5),105%,IF(AND(V259="6",R259&gt;=7.3),100%,IF(AND(V259="6",R259&gt;=7),100%,IF(AND(V259="6",R259&lt;7),100%,IF(AND(V259="5",R259&gt;=7.7),110%,IF(AND(V259="5",R259&gt;=7.5),100%,IF(AND(V259="5",R259&gt;=7.3),100%,IF(AND(V259="5",R259&gt;=7),100%,IF(AND(V259="5",R259&lt;7),100%,IF(AND(V259="4",R259&gt;=7.7),105%,IF(AND(V259="4",R259&gt;=7.5),100%,IF(AND(V259="4",R259&gt;=7.3),95%,IF(AND(V259="4",R259&gt;=7),90%,IF(AND(V259="4",R259&lt;7),80%,IF(AND(V259="3",R259&gt;=7.7),100%,IF(AND(V259="3",R259&gt;=7.5),90%,IF(AND(V259="3",R259&gt;=7.3),80%,IF(AND(V259="3",R259&gt;=7),70%,IF(AND(V259="3",R259&lt;7),60%,IF(AND(V259="2",R259&gt;=7.7),60%,IF(AND(V259="2",R259&gt;=7.5),50%,IF(AND(V259="2",R259&gt;=7.3),35%,IF(AND(V259="2",R259&gt;=7),35%,IF(AND(V259="2",R259&lt;7),25%,25%)))))))))))))))))))))))))</f>
        <v>0.25</v>
      </c>
      <c r="X259" s="7">
        <f>'DL 1'!E260</f>
        <v>0</v>
      </c>
      <c r="Y259" s="69">
        <f>'DL 1'!G260</f>
        <v>0</v>
      </c>
      <c r="AC259" t="str">
        <f>IFERROR(VLOOKUP(Y259,Data!$G$65:$K$79,2,0) *X259,"")</f>
        <v/>
      </c>
      <c r="AD259" s="7">
        <f t="shared" ref="AD259:AD322" si="45">SUM(AC259)</f>
        <v>0</v>
      </c>
      <c r="AE259">
        <f>'DL 1'!F260</f>
        <v>0</v>
      </c>
      <c r="AF259" t="str">
        <f>IFERROR(VLOOKUP(Y259,Data!$G$65:$K$79,4,0),"")</f>
        <v/>
      </c>
      <c r="AG259" s="51" t="e">
        <f>#REF!</f>
        <v>#REF!</v>
      </c>
      <c r="AK259">
        <f t="shared" ref="AK259:AK322" si="46">IF(G259&lt;1,0,IF(G259&lt;12000000,1,IF(AND(G259&gt;=12000000,G259&lt;25000000),2,IF(AND(G259&gt;=25000000,G259&lt;50000000),3,IF(AND(G259&gt;=50000000),4,)))))</f>
        <v>0</v>
      </c>
      <c r="AL259">
        <f t="shared" ref="AL259:AL322" si="47">IF(AND(S259&lt;12,Y259="A"),0.9,IF(AND(S259&lt;12,Y259="B"),0.7,IF(AND(S259&lt;12,Y259="C"),0,IF(AND(S259&lt;12,Y259="D"),0,IF(AND(S259&gt;=12,S259&lt;15,Y259="A"),1.2,IF(AND(S259&gt;=12,S259&lt;15,Y259="B"),1,IF(AND(S259&gt;=12,S259&lt;15,Y259="C"),0.1,IF(AND(S259&gt;=12,S259&lt;15,Y259="D"),0,IF(AND(S259&gt;=15,S259&lt;18,Y259="A"),1.3,IF(AND(S259&gt;=15,S259&lt;18,Y259="B"),1.1,IF(AND(S259&gt;=15,S259&lt;18,Y259="C"),0.3,IF(AND(S259&gt;=15,S259&lt;18,Y259="D"),0,IF(AND(S259&gt;=18,S259&lt;24,Y259="A"),1.5,IF(AND(S259&gt;=18,S259&lt;24,Y259="B"),1.3,IF(AND(S259&gt;=18,S259&lt;24,Y259="C"),0.4,IF(AND(S259&gt;=18,S259&lt;24,Y259="D"),0,IF(AND(S259&gt;=24,Y259="A"),1.6,IF(AND(S259&gt;=24,Y259="B"),1.4,IF(AND(S259&gt;=24,Y259="C"),0.5,IF(AND(S259&gt;=24,Y259="D"),0,))))))))))))))))))))</f>
        <v>0</v>
      </c>
      <c r="AM259" s="70">
        <f t="shared" ref="AM259:AM322" si="48">X259*(AL259/100)</f>
        <v>0</v>
      </c>
      <c r="AN259" s="7" t="b">
        <f t="shared" ref="AN259:AN322" si="49">Q259</f>
        <v>0</v>
      </c>
    </row>
    <row r="260" spans="1:40" x14ac:dyDescent="0.3">
      <c r="A260" s="50">
        <f>IF(D260="A",_xlfn.IFNA(INDEX(Data!$H$24:$J$28,MATCH('DL 1'!E261,Data!$G$24:$G$28,1),MATCH('DL 1'!D261,Data!$H$23:$J$23,1)),0),0)</f>
        <v>0</v>
      </c>
      <c r="B260">
        <f>IF('DL 1'!F261="Y",Q260,0)</f>
        <v>0</v>
      </c>
      <c r="C260" t="e">
        <f>_xlfn.IFNA(INDEX(Data!$H$24:$J$28,MATCH(#REF!,Data!$G$24:$G$28,1),MATCH(#REF!,Data!$H$23:$J$23,1)),0)</f>
        <v>#REF!</v>
      </c>
      <c r="D260" t="str">
        <f>RIGHT(TRIM('DL 1'!G261),1)</f>
        <v/>
      </c>
      <c r="E260" s="8">
        <f>'DL 1'!E261*'DL 1'!D261</f>
        <v>0</v>
      </c>
      <c r="F260" t="str">
        <f>_xlfn.IFNA(VLOOKUP(TRIM('DL 1'!G261),Data!$A:$C,3,0),"")</f>
        <v/>
      </c>
      <c r="G260" s="7">
        <f>'DL 1'!E261</f>
        <v>0</v>
      </c>
      <c r="H260" s="21">
        <f>_xlfn.IFNA(VLOOKUP(TRIM('DL 1'!G261),Data!$A:$D,4,0),0)</f>
        <v>0</v>
      </c>
      <c r="I260">
        <f>_xlfn.IFNA(INDEX(Data!$G$5:$K$10,MATCH('DL 1'!D261,Data!$F$5:$F$10,1),MATCH(_xlfn.SINGLE(#REF!),Data!$G$4:$K$4,1)),0)</f>
        <v>0</v>
      </c>
      <c r="J260">
        <f>_xlfn.IFNA(IF(VLOOKUP(TRIM('DL 1'!G261),Data!$A:$C,3,0)="ST1",H260*I260*G260,IF(VLOOKUP(TRIM('DL 1'!G261),Data!$A:$C,3,0)="IR0",H260*G260,MIN(H260:I260)*G260)),0)</f>
        <v>0</v>
      </c>
      <c r="K260" t="e">
        <f>_xlfn.IFNA(VLOOKUP(TRIM(#REF!),Data!$A:$D,4,0)*#REF!,0)</f>
        <v>#REF!</v>
      </c>
      <c r="L260">
        <f>IF(TRIM('DL 1'!G261)="EDCLNHT0IRNLI",20000,0)</f>
        <v>0</v>
      </c>
      <c r="M260">
        <f>IF(ISERROR(MATCH('DL 1'!A261,#REF!,0)),0,J260*2)</f>
        <v>0</v>
      </c>
      <c r="N260" t="e">
        <f>#REF!</f>
        <v>#REF!</v>
      </c>
      <c r="O260">
        <f>_xlfn.IFNA(VLOOKUP(RIGHT(VLOOKUP(TRIM('DL 1'!G261),Data!$A:$B,2,0),1),Data!$L$23:$M$30,2,0),0)</f>
        <v>0</v>
      </c>
      <c r="P260">
        <f t="shared" ref="P260:P323" si="50">IF(G260&lt;1,0,IF(G260&lt;12000000,1,IF(AND(G260&gt;=12000000,G260&lt;25000000),2,IF(AND(G260&gt;=25000000,G260&lt;50000000),3,IF(AND(G260&gt;=50000000),4,)))))</f>
        <v>0</v>
      </c>
      <c r="Q260" s="7" t="b">
        <f t="shared" si="41"/>
        <v>0</v>
      </c>
      <c r="R260" s="27">
        <f>INCENTIVE!$E$8</f>
        <v>130000000</v>
      </c>
      <c r="S260">
        <f>'DL 1'!D261</f>
        <v>0</v>
      </c>
      <c r="T260" t="str">
        <f t="shared" si="42"/>
        <v>1</v>
      </c>
      <c r="V260" t="str">
        <f t="shared" si="43"/>
        <v>1</v>
      </c>
      <c r="W260">
        <f t="shared" si="44"/>
        <v>0.25</v>
      </c>
      <c r="X260" s="7">
        <f>'DL 1'!E261</f>
        <v>0</v>
      </c>
      <c r="Y260" s="69">
        <f>'DL 1'!G261</f>
        <v>0</v>
      </c>
      <c r="AC260" t="str">
        <f>IFERROR(VLOOKUP(Y260,Data!$G$65:$K$79,2,0) *X260,"")</f>
        <v/>
      </c>
      <c r="AD260" s="7">
        <f t="shared" si="45"/>
        <v>0</v>
      </c>
      <c r="AE260">
        <f>'DL 1'!F261</f>
        <v>0</v>
      </c>
      <c r="AF260" t="str">
        <f>IFERROR(VLOOKUP(Y260,Data!$G$65:$K$79,4,0),"")</f>
        <v/>
      </c>
      <c r="AG260" s="51" t="e">
        <f>#REF!</f>
        <v>#REF!</v>
      </c>
      <c r="AK260">
        <f t="shared" si="46"/>
        <v>0</v>
      </c>
      <c r="AL260">
        <f t="shared" si="47"/>
        <v>0</v>
      </c>
      <c r="AM260" s="70">
        <f t="shared" si="48"/>
        <v>0</v>
      </c>
      <c r="AN260" s="7" t="b">
        <f t="shared" si="49"/>
        <v>0</v>
      </c>
    </row>
    <row r="261" spans="1:40" x14ac:dyDescent="0.3">
      <c r="A261" s="50">
        <f>IF(D261="A",_xlfn.IFNA(INDEX(Data!$H$24:$J$28,MATCH('DL 1'!E262,Data!$G$24:$G$28,1),MATCH('DL 1'!D262,Data!$H$23:$J$23,1)),0),0)</f>
        <v>0</v>
      </c>
      <c r="B261">
        <f>IF('DL 1'!F262="Y",Q261,0)</f>
        <v>0</v>
      </c>
      <c r="C261" t="e">
        <f>_xlfn.IFNA(INDEX(Data!$H$24:$J$28,MATCH(#REF!,Data!$G$24:$G$28,1),MATCH(#REF!,Data!$H$23:$J$23,1)),0)</f>
        <v>#REF!</v>
      </c>
      <c r="D261" t="str">
        <f>RIGHT(TRIM('DL 1'!G262),1)</f>
        <v/>
      </c>
      <c r="E261" s="8">
        <f>'DL 1'!E262*'DL 1'!D262</f>
        <v>0</v>
      </c>
      <c r="F261" t="str">
        <f>_xlfn.IFNA(VLOOKUP(TRIM('DL 1'!G262),Data!$A:$C,3,0),"")</f>
        <v/>
      </c>
      <c r="G261" s="7">
        <f>'DL 1'!E262</f>
        <v>0</v>
      </c>
      <c r="H261" s="21">
        <f>_xlfn.IFNA(VLOOKUP(TRIM('DL 1'!G262),Data!$A:$D,4,0),0)</f>
        <v>0</v>
      </c>
      <c r="I261">
        <f>_xlfn.IFNA(INDEX(Data!$G$5:$K$10,MATCH('DL 1'!D262,Data!$F$5:$F$10,1),MATCH(_xlfn.SINGLE(#REF!),Data!$G$4:$K$4,1)),0)</f>
        <v>0</v>
      </c>
      <c r="J261">
        <f>_xlfn.IFNA(IF(VLOOKUP(TRIM('DL 1'!G262),Data!$A:$C,3,0)="ST1",H261*I261*G261,IF(VLOOKUP(TRIM('DL 1'!G262),Data!$A:$C,3,0)="IR0",H261*G261,MIN(H261:I261)*G261)),0)</f>
        <v>0</v>
      </c>
      <c r="K261" t="e">
        <f>_xlfn.IFNA(VLOOKUP(TRIM(#REF!),Data!$A:$D,4,0)*#REF!,0)</f>
        <v>#REF!</v>
      </c>
      <c r="L261">
        <f>IF(TRIM('DL 1'!G262)="EDCLNHT0IRNLI",20000,0)</f>
        <v>0</v>
      </c>
      <c r="M261">
        <f>IF(ISERROR(MATCH('DL 1'!A262,#REF!,0)),0,J261*2)</f>
        <v>0</v>
      </c>
      <c r="N261" t="e">
        <f>#REF!</f>
        <v>#REF!</v>
      </c>
      <c r="O261">
        <f>_xlfn.IFNA(VLOOKUP(RIGHT(VLOOKUP(TRIM('DL 1'!G262),Data!$A:$B,2,0),1),Data!$L$23:$M$30,2,0),0)</f>
        <v>0</v>
      </c>
      <c r="P261">
        <f t="shared" si="50"/>
        <v>0</v>
      </c>
      <c r="Q261" s="7" t="b">
        <f t="shared" si="41"/>
        <v>0</v>
      </c>
      <c r="R261" s="27">
        <f>INCENTIVE!$E$8</f>
        <v>130000000</v>
      </c>
      <c r="S261">
        <f>'DL 1'!D262</f>
        <v>0</v>
      </c>
      <c r="T261" t="str">
        <f t="shared" si="42"/>
        <v>1</v>
      </c>
      <c r="V261" t="str">
        <f t="shared" si="43"/>
        <v>1</v>
      </c>
      <c r="W261">
        <f t="shared" si="44"/>
        <v>0.25</v>
      </c>
      <c r="X261" s="7">
        <f>'DL 1'!E262</f>
        <v>0</v>
      </c>
      <c r="Y261" s="69">
        <f>'DL 1'!G262</f>
        <v>0</v>
      </c>
      <c r="AC261" t="str">
        <f>IFERROR(VLOOKUP(Y261,Data!$G$65:$K$79,2,0) *X261,"")</f>
        <v/>
      </c>
      <c r="AD261" s="7">
        <f t="shared" si="45"/>
        <v>0</v>
      </c>
      <c r="AE261">
        <f>'DL 1'!F262</f>
        <v>0</v>
      </c>
      <c r="AF261" t="str">
        <f>IFERROR(VLOOKUP(Y261,Data!$G$65:$K$79,4,0),"")</f>
        <v/>
      </c>
      <c r="AG261" s="51" t="e">
        <f>#REF!</f>
        <v>#REF!</v>
      </c>
      <c r="AK261">
        <f t="shared" si="46"/>
        <v>0</v>
      </c>
      <c r="AL261">
        <f t="shared" si="47"/>
        <v>0</v>
      </c>
      <c r="AM261" s="70">
        <f t="shared" si="48"/>
        <v>0</v>
      </c>
      <c r="AN261" s="7" t="b">
        <f t="shared" si="49"/>
        <v>0</v>
      </c>
    </row>
    <row r="262" spans="1:40" x14ac:dyDescent="0.3">
      <c r="A262" s="50">
        <f>IF(D262="A",_xlfn.IFNA(INDEX(Data!$H$24:$J$28,MATCH('DL 1'!E263,Data!$G$24:$G$28,1),MATCH('DL 1'!D263,Data!$H$23:$J$23,1)),0),0)</f>
        <v>0</v>
      </c>
      <c r="B262">
        <f>IF('DL 1'!F263="Y",Q262,0)</f>
        <v>0</v>
      </c>
      <c r="C262" t="e">
        <f>_xlfn.IFNA(INDEX(Data!$H$24:$J$28,MATCH(#REF!,Data!$G$24:$G$28,1),MATCH(#REF!,Data!$H$23:$J$23,1)),0)</f>
        <v>#REF!</v>
      </c>
      <c r="D262" t="str">
        <f>RIGHT(TRIM('DL 1'!G263),1)</f>
        <v/>
      </c>
      <c r="E262" s="8">
        <f>'DL 1'!E263*'DL 1'!D263</f>
        <v>0</v>
      </c>
      <c r="F262" t="str">
        <f>_xlfn.IFNA(VLOOKUP(TRIM('DL 1'!G263),Data!$A:$C,3,0),"")</f>
        <v/>
      </c>
      <c r="G262" s="7">
        <f>'DL 1'!E263</f>
        <v>0</v>
      </c>
      <c r="H262" s="21">
        <f>_xlfn.IFNA(VLOOKUP(TRIM('DL 1'!G263),Data!$A:$D,4,0),0)</f>
        <v>0</v>
      </c>
      <c r="I262">
        <f>_xlfn.IFNA(INDEX(Data!$G$5:$K$10,MATCH('DL 1'!D263,Data!$F$5:$F$10,1),MATCH(_xlfn.SINGLE(#REF!),Data!$G$4:$K$4,1)),0)</f>
        <v>0</v>
      </c>
      <c r="J262">
        <f>_xlfn.IFNA(IF(VLOOKUP(TRIM('DL 1'!G263),Data!$A:$C,3,0)="ST1",H262*I262*G262,IF(VLOOKUP(TRIM('DL 1'!G263),Data!$A:$C,3,0)="IR0",H262*G262,MIN(H262:I262)*G262)),0)</f>
        <v>0</v>
      </c>
      <c r="K262" t="e">
        <f>_xlfn.IFNA(VLOOKUP(TRIM(#REF!),Data!$A:$D,4,0)*#REF!,0)</f>
        <v>#REF!</v>
      </c>
      <c r="L262">
        <f>IF(TRIM('DL 1'!G263)="EDCLNHT0IRNLI",20000,0)</f>
        <v>0</v>
      </c>
      <c r="M262">
        <f>IF(ISERROR(MATCH('DL 1'!A263,#REF!,0)),0,J262*2)</f>
        <v>0</v>
      </c>
      <c r="N262" t="e">
        <f>#REF!</f>
        <v>#REF!</v>
      </c>
      <c r="O262">
        <f>_xlfn.IFNA(VLOOKUP(RIGHT(VLOOKUP(TRIM('DL 1'!G263),Data!$A:$B,2,0),1),Data!$L$23:$M$30,2,0),0)</f>
        <v>0</v>
      </c>
      <c r="P262">
        <f t="shared" si="50"/>
        <v>0</v>
      </c>
      <c r="Q262" s="7" t="b">
        <f t="shared" si="41"/>
        <v>0</v>
      </c>
      <c r="R262" s="27">
        <f>INCENTIVE!$E$8</f>
        <v>130000000</v>
      </c>
      <c r="S262">
        <f>'DL 1'!D263</f>
        <v>0</v>
      </c>
      <c r="T262" t="str">
        <f t="shared" si="42"/>
        <v>1</v>
      </c>
      <c r="V262" t="str">
        <f t="shared" si="43"/>
        <v>1</v>
      </c>
      <c r="W262">
        <f t="shared" si="44"/>
        <v>0.25</v>
      </c>
      <c r="X262" s="7">
        <f>'DL 1'!E263</f>
        <v>0</v>
      </c>
      <c r="Y262" s="69">
        <f>'DL 1'!G263</f>
        <v>0</v>
      </c>
      <c r="AC262" t="str">
        <f>IFERROR(VLOOKUP(Y262,Data!$G$65:$K$79,2,0) *X262,"")</f>
        <v/>
      </c>
      <c r="AD262" s="7">
        <f t="shared" si="45"/>
        <v>0</v>
      </c>
      <c r="AE262">
        <f>'DL 1'!F263</f>
        <v>0</v>
      </c>
      <c r="AF262" t="str">
        <f>IFERROR(VLOOKUP(Y262,Data!$G$65:$K$79,4,0),"")</f>
        <v/>
      </c>
      <c r="AG262" s="51" t="e">
        <f>#REF!</f>
        <v>#REF!</v>
      </c>
      <c r="AK262">
        <f t="shared" si="46"/>
        <v>0</v>
      </c>
      <c r="AL262">
        <f t="shared" si="47"/>
        <v>0</v>
      </c>
      <c r="AM262" s="70">
        <f t="shared" si="48"/>
        <v>0</v>
      </c>
      <c r="AN262" s="7" t="b">
        <f t="shared" si="49"/>
        <v>0</v>
      </c>
    </row>
    <row r="263" spans="1:40" x14ac:dyDescent="0.3">
      <c r="A263" s="50">
        <f>IF(D263="A",_xlfn.IFNA(INDEX(Data!$H$24:$J$28,MATCH('DL 1'!E264,Data!$G$24:$G$28,1),MATCH('DL 1'!D264,Data!$H$23:$J$23,1)),0),0)</f>
        <v>0</v>
      </c>
      <c r="B263">
        <f>IF('DL 1'!F264="Y",Q263,0)</f>
        <v>0</v>
      </c>
      <c r="C263" t="e">
        <f>_xlfn.IFNA(INDEX(Data!$H$24:$J$28,MATCH(#REF!,Data!$G$24:$G$28,1),MATCH(#REF!,Data!$H$23:$J$23,1)),0)</f>
        <v>#REF!</v>
      </c>
      <c r="D263" t="str">
        <f>RIGHT(TRIM('DL 1'!G264),1)</f>
        <v/>
      </c>
      <c r="E263" s="8">
        <f>'DL 1'!E264*'DL 1'!D264</f>
        <v>0</v>
      </c>
      <c r="F263" t="str">
        <f>_xlfn.IFNA(VLOOKUP(TRIM('DL 1'!G264),Data!$A:$C,3,0),"")</f>
        <v/>
      </c>
      <c r="G263" s="7">
        <f>'DL 1'!E264</f>
        <v>0</v>
      </c>
      <c r="H263" s="21">
        <f>_xlfn.IFNA(VLOOKUP(TRIM('DL 1'!G264),Data!$A:$D,4,0),0)</f>
        <v>0</v>
      </c>
      <c r="I263">
        <f>_xlfn.IFNA(INDEX(Data!$G$5:$K$10,MATCH('DL 1'!D264,Data!$F$5:$F$10,1),MATCH(_xlfn.SINGLE(#REF!),Data!$G$4:$K$4,1)),0)</f>
        <v>0</v>
      </c>
      <c r="J263">
        <f>_xlfn.IFNA(IF(VLOOKUP(TRIM('DL 1'!G264),Data!$A:$C,3,0)="ST1",H263*I263*G263,IF(VLOOKUP(TRIM('DL 1'!G264),Data!$A:$C,3,0)="IR0",H263*G263,MIN(H263:I263)*G263)),0)</f>
        <v>0</v>
      </c>
      <c r="K263" t="e">
        <f>_xlfn.IFNA(VLOOKUP(TRIM(#REF!),Data!$A:$D,4,0)*#REF!,0)</f>
        <v>#REF!</v>
      </c>
      <c r="L263">
        <f>IF(TRIM('DL 1'!G264)="EDCLNHT0IRNLI",20000,0)</f>
        <v>0</v>
      </c>
      <c r="M263">
        <f>IF(ISERROR(MATCH('DL 1'!A264,#REF!,0)),0,J263*2)</f>
        <v>0</v>
      </c>
      <c r="N263" t="e">
        <f>#REF!</f>
        <v>#REF!</v>
      </c>
      <c r="O263">
        <f>_xlfn.IFNA(VLOOKUP(RIGHT(VLOOKUP(TRIM('DL 1'!G264),Data!$A:$B,2,0),1),Data!$L$23:$M$30,2,0),0)</f>
        <v>0</v>
      </c>
      <c r="P263">
        <f t="shared" si="50"/>
        <v>0</v>
      </c>
      <c r="Q263" s="7" t="b">
        <f t="shared" si="41"/>
        <v>0</v>
      </c>
      <c r="R263" s="27">
        <f>INCENTIVE!$E$8</f>
        <v>130000000</v>
      </c>
      <c r="S263">
        <f>'DL 1'!D264</f>
        <v>0</v>
      </c>
      <c r="T263" t="str">
        <f t="shared" si="42"/>
        <v>1</v>
      </c>
      <c r="V263" t="str">
        <f t="shared" si="43"/>
        <v>1</v>
      </c>
      <c r="W263">
        <f t="shared" si="44"/>
        <v>0.25</v>
      </c>
      <c r="X263" s="7">
        <f>'DL 1'!E264</f>
        <v>0</v>
      </c>
      <c r="Y263" s="69">
        <f>'DL 1'!G264</f>
        <v>0</v>
      </c>
      <c r="AC263" t="str">
        <f>IFERROR(VLOOKUP(Y263,Data!$G$65:$K$79,2,0) *X263,"")</f>
        <v/>
      </c>
      <c r="AD263" s="7">
        <f t="shared" si="45"/>
        <v>0</v>
      </c>
      <c r="AE263">
        <f>'DL 1'!F264</f>
        <v>0</v>
      </c>
      <c r="AF263" t="str">
        <f>IFERROR(VLOOKUP(Y263,Data!$G$65:$K$79,4,0),"")</f>
        <v/>
      </c>
      <c r="AG263" s="51" t="e">
        <f>#REF!</f>
        <v>#REF!</v>
      </c>
      <c r="AK263">
        <f t="shared" si="46"/>
        <v>0</v>
      </c>
      <c r="AL263">
        <f t="shared" si="47"/>
        <v>0</v>
      </c>
      <c r="AM263" s="70">
        <f t="shared" si="48"/>
        <v>0</v>
      </c>
      <c r="AN263" s="7" t="b">
        <f t="shared" si="49"/>
        <v>0</v>
      </c>
    </row>
    <row r="264" spans="1:40" x14ac:dyDescent="0.3">
      <c r="A264" s="50">
        <f>IF(D264="A",_xlfn.IFNA(INDEX(Data!$H$24:$J$28,MATCH('DL 1'!E265,Data!$G$24:$G$28,1),MATCH('DL 1'!D265,Data!$H$23:$J$23,1)),0),0)</f>
        <v>0</v>
      </c>
      <c r="B264">
        <f>IF('DL 1'!F265="Y",Q264,0)</f>
        <v>0</v>
      </c>
      <c r="C264" t="e">
        <f>_xlfn.IFNA(INDEX(Data!$H$24:$J$28,MATCH(#REF!,Data!$G$24:$G$28,1),MATCH(#REF!,Data!$H$23:$J$23,1)),0)</f>
        <v>#REF!</v>
      </c>
      <c r="D264" t="str">
        <f>RIGHT(TRIM('DL 1'!G265),1)</f>
        <v/>
      </c>
      <c r="E264" s="8">
        <f>'DL 1'!E265*'DL 1'!D265</f>
        <v>0</v>
      </c>
      <c r="F264" t="str">
        <f>_xlfn.IFNA(VLOOKUP(TRIM('DL 1'!G265),Data!$A:$C,3,0),"")</f>
        <v/>
      </c>
      <c r="G264" s="7">
        <f>'DL 1'!E265</f>
        <v>0</v>
      </c>
      <c r="H264" s="21">
        <f>_xlfn.IFNA(VLOOKUP(TRIM('DL 1'!G265),Data!$A:$D,4,0),0)</f>
        <v>0</v>
      </c>
      <c r="I264">
        <f>_xlfn.IFNA(INDEX(Data!$G$5:$K$10,MATCH('DL 1'!D265,Data!$F$5:$F$10,1),MATCH(_xlfn.SINGLE(#REF!),Data!$G$4:$K$4,1)),0)</f>
        <v>0</v>
      </c>
      <c r="J264">
        <f>_xlfn.IFNA(IF(VLOOKUP(TRIM('DL 1'!G265),Data!$A:$C,3,0)="ST1",H264*I264*G264,IF(VLOOKUP(TRIM('DL 1'!G265),Data!$A:$C,3,0)="IR0",H264*G264,MIN(H264:I264)*G264)),0)</f>
        <v>0</v>
      </c>
      <c r="K264" t="e">
        <f>_xlfn.IFNA(VLOOKUP(TRIM(#REF!),Data!$A:$D,4,0)*#REF!,0)</f>
        <v>#REF!</v>
      </c>
      <c r="L264">
        <f>IF(TRIM('DL 1'!G265)="EDCLNHT0IRNLI",20000,0)</f>
        <v>0</v>
      </c>
      <c r="M264">
        <f>IF(ISERROR(MATCH('DL 1'!A265,#REF!,0)),0,J264*2)</f>
        <v>0</v>
      </c>
      <c r="N264" t="e">
        <f>#REF!</f>
        <v>#REF!</v>
      </c>
      <c r="O264">
        <f>_xlfn.IFNA(VLOOKUP(RIGHT(VLOOKUP(TRIM('DL 1'!G265),Data!$A:$B,2,0),1),Data!$L$23:$M$30,2,0),0)</f>
        <v>0</v>
      </c>
      <c r="P264">
        <f t="shared" si="50"/>
        <v>0</v>
      </c>
      <c r="Q264" s="7" t="b">
        <f t="shared" si="41"/>
        <v>0</v>
      </c>
      <c r="R264" s="27">
        <f>INCENTIVE!$E$8</f>
        <v>130000000</v>
      </c>
      <c r="S264">
        <f>'DL 1'!D265</f>
        <v>0</v>
      </c>
      <c r="T264" t="str">
        <f t="shared" si="42"/>
        <v>1</v>
      </c>
      <c r="V264" t="str">
        <f t="shared" si="43"/>
        <v>1</v>
      </c>
      <c r="W264">
        <f t="shared" si="44"/>
        <v>0.25</v>
      </c>
      <c r="X264" s="7">
        <f>'DL 1'!E265</f>
        <v>0</v>
      </c>
      <c r="Y264" s="69">
        <f>'DL 1'!G265</f>
        <v>0</v>
      </c>
      <c r="AC264" t="str">
        <f>IFERROR(VLOOKUP(Y264,Data!$G$65:$K$79,2,0) *X264,"")</f>
        <v/>
      </c>
      <c r="AD264" s="7">
        <f t="shared" si="45"/>
        <v>0</v>
      </c>
      <c r="AE264">
        <f>'DL 1'!F265</f>
        <v>0</v>
      </c>
      <c r="AF264" t="str">
        <f>IFERROR(VLOOKUP(Y264,Data!$G$65:$K$79,4,0),"")</f>
        <v/>
      </c>
      <c r="AG264" s="51" t="e">
        <f>#REF!</f>
        <v>#REF!</v>
      </c>
      <c r="AK264">
        <f t="shared" si="46"/>
        <v>0</v>
      </c>
      <c r="AL264">
        <f t="shared" si="47"/>
        <v>0</v>
      </c>
      <c r="AM264" s="70">
        <f t="shared" si="48"/>
        <v>0</v>
      </c>
      <c r="AN264" s="7" t="b">
        <f t="shared" si="49"/>
        <v>0</v>
      </c>
    </row>
    <row r="265" spans="1:40" x14ac:dyDescent="0.3">
      <c r="A265" s="50">
        <f>IF(D265="A",_xlfn.IFNA(INDEX(Data!$H$24:$J$28,MATCH('DL 1'!E266,Data!$G$24:$G$28,1),MATCH('DL 1'!D266,Data!$H$23:$J$23,1)),0),0)</f>
        <v>0</v>
      </c>
      <c r="B265">
        <f>IF('DL 1'!F266="Y",Q265,0)</f>
        <v>0</v>
      </c>
      <c r="C265" t="e">
        <f>_xlfn.IFNA(INDEX(Data!$H$24:$J$28,MATCH(#REF!,Data!$G$24:$G$28,1),MATCH(#REF!,Data!$H$23:$J$23,1)),0)</f>
        <v>#REF!</v>
      </c>
      <c r="D265" t="str">
        <f>RIGHT(TRIM('DL 1'!G266),1)</f>
        <v/>
      </c>
      <c r="E265" s="8">
        <f>'DL 1'!E266*'DL 1'!D266</f>
        <v>0</v>
      </c>
      <c r="F265" t="str">
        <f>_xlfn.IFNA(VLOOKUP(TRIM('DL 1'!G266),Data!$A:$C,3,0),"")</f>
        <v/>
      </c>
      <c r="G265" s="7">
        <f>'DL 1'!E266</f>
        <v>0</v>
      </c>
      <c r="H265" s="21">
        <f>_xlfn.IFNA(VLOOKUP(TRIM('DL 1'!G266),Data!$A:$D,4,0),0)</f>
        <v>0</v>
      </c>
      <c r="I265">
        <f>_xlfn.IFNA(INDEX(Data!$G$5:$K$10,MATCH('DL 1'!D266,Data!$F$5:$F$10,1),MATCH(_xlfn.SINGLE(#REF!),Data!$G$4:$K$4,1)),0)</f>
        <v>0</v>
      </c>
      <c r="J265">
        <f>_xlfn.IFNA(IF(VLOOKUP(TRIM('DL 1'!G266),Data!$A:$C,3,0)="ST1",H265*I265*G265,IF(VLOOKUP(TRIM('DL 1'!G266),Data!$A:$C,3,0)="IR0",H265*G265,MIN(H265:I265)*G265)),0)</f>
        <v>0</v>
      </c>
      <c r="K265" t="e">
        <f>_xlfn.IFNA(VLOOKUP(TRIM(#REF!),Data!$A:$D,4,0)*#REF!,0)</f>
        <v>#REF!</v>
      </c>
      <c r="L265">
        <f>IF(TRIM('DL 1'!G266)="EDCLNHT0IRNLI",20000,0)</f>
        <v>0</v>
      </c>
      <c r="M265">
        <f>IF(ISERROR(MATCH('DL 1'!A266,#REF!,0)),0,J265*2)</f>
        <v>0</v>
      </c>
      <c r="N265" t="e">
        <f>#REF!</f>
        <v>#REF!</v>
      </c>
      <c r="O265">
        <f>_xlfn.IFNA(VLOOKUP(RIGHT(VLOOKUP(TRIM('DL 1'!G266),Data!$A:$B,2,0),1),Data!$L$23:$M$30,2,0),0)</f>
        <v>0</v>
      </c>
      <c r="P265">
        <f t="shared" si="50"/>
        <v>0</v>
      </c>
      <c r="Q265" s="7" t="b">
        <f t="shared" si="41"/>
        <v>0</v>
      </c>
      <c r="R265" s="27">
        <f>INCENTIVE!$E$8</f>
        <v>130000000</v>
      </c>
      <c r="S265">
        <f>'DL 1'!D266</f>
        <v>0</v>
      </c>
      <c r="T265" t="str">
        <f t="shared" si="42"/>
        <v>1</v>
      </c>
      <c r="V265" t="str">
        <f t="shared" si="43"/>
        <v>1</v>
      </c>
      <c r="W265">
        <f t="shared" si="44"/>
        <v>0.25</v>
      </c>
      <c r="X265" s="7">
        <f>'DL 1'!E266</f>
        <v>0</v>
      </c>
      <c r="Y265" s="69">
        <f>'DL 1'!G266</f>
        <v>0</v>
      </c>
      <c r="AC265" t="str">
        <f>IFERROR(VLOOKUP(Y265,Data!$G$65:$K$79,2,0) *X265,"")</f>
        <v/>
      </c>
      <c r="AD265" s="7">
        <f t="shared" si="45"/>
        <v>0</v>
      </c>
      <c r="AE265">
        <f>'DL 1'!F266</f>
        <v>0</v>
      </c>
      <c r="AF265" t="str">
        <f>IFERROR(VLOOKUP(Y265,Data!$G$65:$K$79,4,0),"")</f>
        <v/>
      </c>
      <c r="AG265" s="51" t="e">
        <f>#REF!</f>
        <v>#REF!</v>
      </c>
      <c r="AK265">
        <f t="shared" si="46"/>
        <v>0</v>
      </c>
      <c r="AL265">
        <f t="shared" si="47"/>
        <v>0</v>
      </c>
      <c r="AM265" s="70">
        <f t="shared" si="48"/>
        <v>0</v>
      </c>
      <c r="AN265" s="7" t="b">
        <f t="shared" si="49"/>
        <v>0</v>
      </c>
    </row>
    <row r="266" spans="1:40" x14ac:dyDescent="0.3">
      <c r="A266" s="50">
        <f>IF(D266="A",_xlfn.IFNA(INDEX(Data!$H$24:$J$28,MATCH('DL 1'!E267,Data!$G$24:$G$28,1),MATCH('DL 1'!D267,Data!$H$23:$J$23,1)),0),0)</f>
        <v>0</v>
      </c>
      <c r="B266">
        <f>IF('DL 1'!F267="Y",Q266,0)</f>
        <v>0</v>
      </c>
      <c r="C266" t="e">
        <f>_xlfn.IFNA(INDEX(Data!$H$24:$J$28,MATCH(#REF!,Data!$G$24:$G$28,1),MATCH(#REF!,Data!$H$23:$J$23,1)),0)</f>
        <v>#REF!</v>
      </c>
      <c r="D266" t="str">
        <f>RIGHT(TRIM('DL 1'!G267),1)</f>
        <v/>
      </c>
      <c r="E266" s="8">
        <f>'DL 1'!E267*'DL 1'!D267</f>
        <v>0</v>
      </c>
      <c r="F266" t="str">
        <f>_xlfn.IFNA(VLOOKUP(TRIM('DL 1'!G267),Data!$A:$C,3,0),"")</f>
        <v/>
      </c>
      <c r="G266" s="7">
        <f>'DL 1'!E267</f>
        <v>0</v>
      </c>
      <c r="H266" s="21">
        <f>_xlfn.IFNA(VLOOKUP(TRIM('DL 1'!G267),Data!$A:$D,4,0),0)</f>
        <v>0</v>
      </c>
      <c r="I266">
        <f>_xlfn.IFNA(INDEX(Data!$G$5:$K$10,MATCH('DL 1'!D267,Data!$F$5:$F$10,1),MATCH(_xlfn.SINGLE(#REF!),Data!$G$4:$K$4,1)),0)</f>
        <v>0</v>
      </c>
      <c r="J266">
        <f>_xlfn.IFNA(IF(VLOOKUP(TRIM('DL 1'!G267),Data!$A:$C,3,0)="ST1",H266*I266*G266,IF(VLOOKUP(TRIM('DL 1'!G267),Data!$A:$C,3,0)="IR0",H266*G266,MIN(H266:I266)*G266)),0)</f>
        <v>0</v>
      </c>
      <c r="K266" t="e">
        <f>_xlfn.IFNA(VLOOKUP(TRIM(#REF!),Data!$A:$D,4,0)*#REF!,0)</f>
        <v>#REF!</v>
      </c>
      <c r="L266">
        <f>IF(TRIM('DL 1'!G267)="EDCLNHT0IRNLI",20000,0)</f>
        <v>0</v>
      </c>
      <c r="M266">
        <f>IF(ISERROR(MATCH('DL 1'!A267,#REF!,0)),0,J266*2)</f>
        <v>0</v>
      </c>
      <c r="N266" t="e">
        <f>#REF!</f>
        <v>#REF!</v>
      </c>
      <c r="O266">
        <f>_xlfn.IFNA(VLOOKUP(RIGHT(VLOOKUP(TRIM('DL 1'!G267),Data!$A:$B,2,0),1),Data!$L$23:$M$30,2,0),0)</f>
        <v>0</v>
      </c>
      <c r="P266">
        <f t="shared" si="50"/>
        <v>0</v>
      </c>
      <c r="Q266" s="7" t="b">
        <f t="shared" si="41"/>
        <v>0</v>
      </c>
      <c r="R266" s="27">
        <f>INCENTIVE!$E$8</f>
        <v>130000000</v>
      </c>
      <c r="S266">
        <f>'DL 1'!D267</f>
        <v>0</v>
      </c>
      <c r="T266" t="str">
        <f t="shared" si="42"/>
        <v>1</v>
      </c>
      <c r="V266" t="str">
        <f t="shared" si="43"/>
        <v>1</v>
      </c>
      <c r="W266">
        <f t="shared" si="44"/>
        <v>0.25</v>
      </c>
      <c r="X266" s="7">
        <f>'DL 1'!E267</f>
        <v>0</v>
      </c>
      <c r="Y266" s="69">
        <f>'DL 1'!G267</f>
        <v>0</v>
      </c>
      <c r="AC266" t="str">
        <f>IFERROR(VLOOKUP(Y266,Data!$G$65:$K$79,2,0) *X266,"")</f>
        <v/>
      </c>
      <c r="AD266" s="7">
        <f t="shared" si="45"/>
        <v>0</v>
      </c>
      <c r="AE266">
        <f>'DL 1'!F267</f>
        <v>0</v>
      </c>
      <c r="AF266" t="str">
        <f>IFERROR(VLOOKUP(Y266,Data!$G$65:$K$79,4,0),"")</f>
        <v/>
      </c>
      <c r="AG266" s="51" t="e">
        <f>#REF!</f>
        <v>#REF!</v>
      </c>
      <c r="AK266">
        <f t="shared" si="46"/>
        <v>0</v>
      </c>
      <c r="AL266">
        <f t="shared" si="47"/>
        <v>0</v>
      </c>
      <c r="AM266" s="70">
        <f t="shared" si="48"/>
        <v>0</v>
      </c>
      <c r="AN266" s="7" t="b">
        <f t="shared" si="49"/>
        <v>0</v>
      </c>
    </row>
    <row r="267" spans="1:40" x14ac:dyDescent="0.3">
      <c r="A267" s="50">
        <f>IF(D267="A",_xlfn.IFNA(INDEX(Data!$H$24:$J$28,MATCH('DL 1'!E268,Data!$G$24:$G$28,1),MATCH('DL 1'!D268,Data!$H$23:$J$23,1)),0),0)</f>
        <v>0</v>
      </c>
      <c r="B267">
        <f>IF('DL 1'!F268="Y",Q267,0)</f>
        <v>0</v>
      </c>
      <c r="C267" t="e">
        <f>_xlfn.IFNA(INDEX(Data!$H$24:$J$28,MATCH(#REF!,Data!$G$24:$G$28,1),MATCH(#REF!,Data!$H$23:$J$23,1)),0)</f>
        <v>#REF!</v>
      </c>
      <c r="D267" t="str">
        <f>RIGHT(TRIM('DL 1'!G268),1)</f>
        <v/>
      </c>
      <c r="E267" s="8">
        <f>'DL 1'!E268*'DL 1'!D268</f>
        <v>0</v>
      </c>
      <c r="F267" t="str">
        <f>_xlfn.IFNA(VLOOKUP(TRIM('DL 1'!G268),Data!$A:$C,3,0),"")</f>
        <v/>
      </c>
      <c r="G267" s="7">
        <f>'DL 1'!E268</f>
        <v>0</v>
      </c>
      <c r="H267" s="21">
        <f>_xlfn.IFNA(VLOOKUP(TRIM('DL 1'!G268),Data!$A:$D,4,0),0)</f>
        <v>0</v>
      </c>
      <c r="I267">
        <f>_xlfn.IFNA(INDEX(Data!$G$5:$K$10,MATCH('DL 1'!D268,Data!$F$5:$F$10,1),MATCH(_xlfn.SINGLE(#REF!),Data!$G$4:$K$4,1)),0)</f>
        <v>0</v>
      </c>
      <c r="J267">
        <f>_xlfn.IFNA(IF(VLOOKUP(TRIM('DL 1'!G268),Data!$A:$C,3,0)="ST1",H267*I267*G267,IF(VLOOKUP(TRIM('DL 1'!G268),Data!$A:$C,3,0)="IR0",H267*G267,MIN(H267:I267)*G267)),0)</f>
        <v>0</v>
      </c>
      <c r="K267" t="e">
        <f>_xlfn.IFNA(VLOOKUP(TRIM(#REF!),Data!$A:$D,4,0)*#REF!,0)</f>
        <v>#REF!</v>
      </c>
      <c r="L267">
        <f>IF(TRIM('DL 1'!G268)="EDCLNHT0IRNLI",20000,0)</f>
        <v>0</v>
      </c>
      <c r="M267">
        <f>IF(ISERROR(MATCH('DL 1'!A268,#REF!,0)),0,J267*2)</f>
        <v>0</v>
      </c>
      <c r="N267" t="e">
        <f>#REF!</f>
        <v>#REF!</v>
      </c>
      <c r="O267">
        <f>_xlfn.IFNA(VLOOKUP(RIGHT(VLOOKUP(TRIM('DL 1'!G268),Data!$A:$B,2,0),1),Data!$L$23:$M$30,2,0),0)</f>
        <v>0</v>
      </c>
      <c r="P267">
        <f t="shared" si="50"/>
        <v>0</v>
      </c>
      <c r="Q267" s="7" t="b">
        <f t="shared" si="41"/>
        <v>0</v>
      </c>
      <c r="R267" s="27">
        <f>INCENTIVE!$E$8</f>
        <v>130000000</v>
      </c>
      <c r="S267">
        <f>'DL 1'!D268</f>
        <v>0</v>
      </c>
      <c r="T267" t="str">
        <f t="shared" si="42"/>
        <v>1</v>
      </c>
      <c r="V267" t="str">
        <f t="shared" si="43"/>
        <v>1</v>
      </c>
      <c r="W267">
        <f t="shared" si="44"/>
        <v>0.25</v>
      </c>
      <c r="X267" s="7">
        <f>'DL 1'!E268</f>
        <v>0</v>
      </c>
      <c r="Y267" s="69">
        <f>'DL 1'!G268</f>
        <v>0</v>
      </c>
      <c r="AC267" t="str">
        <f>IFERROR(VLOOKUP(Y267,Data!$G$65:$K$79,2,0) *X267,"")</f>
        <v/>
      </c>
      <c r="AD267" s="7">
        <f t="shared" si="45"/>
        <v>0</v>
      </c>
      <c r="AE267">
        <f>'DL 1'!F268</f>
        <v>0</v>
      </c>
      <c r="AF267" t="str">
        <f>IFERROR(VLOOKUP(Y267,Data!$G$65:$K$79,4,0),"")</f>
        <v/>
      </c>
      <c r="AG267" s="51" t="e">
        <f>#REF!</f>
        <v>#REF!</v>
      </c>
      <c r="AK267">
        <f t="shared" si="46"/>
        <v>0</v>
      </c>
      <c r="AL267">
        <f t="shared" si="47"/>
        <v>0</v>
      </c>
      <c r="AM267" s="70">
        <f t="shared" si="48"/>
        <v>0</v>
      </c>
      <c r="AN267" s="7" t="b">
        <f t="shared" si="49"/>
        <v>0</v>
      </c>
    </row>
    <row r="268" spans="1:40" x14ac:dyDescent="0.3">
      <c r="A268" s="50">
        <f>IF(D268="A",_xlfn.IFNA(INDEX(Data!$H$24:$J$28,MATCH('DL 1'!E269,Data!$G$24:$G$28,1),MATCH('DL 1'!D269,Data!$H$23:$J$23,1)),0),0)</f>
        <v>0</v>
      </c>
      <c r="B268">
        <f>IF('DL 1'!F269="Y",Q268,0)</f>
        <v>0</v>
      </c>
      <c r="C268" t="e">
        <f>_xlfn.IFNA(INDEX(Data!$H$24:$J$28,MATCH(#REF!,Data!$G$24:$G$28,1),MATCH(#REF!,Data!$H$23:$J$23,1)),0)</f>
        <v>#REF!</v>
      </c>
      <c r="D268" t="str">
        <f>RIGHT(TRIM('DL 1'!G269),1)</f>
        <v/>
      </c>
      <c r="E268" s="8">
        <f>'DL 1'!E269*'DL 1'!D269</f>
        <v>0</v>
      </c>
      <c r="F268" t="str">
        <f>_xlfn.IFNA(VLOOKUP(TRIM('DL 1'!G269),Data!$A:$C,3,0),"")</f>
        <v/>
      </c>
      <c r="G268" s="7">
        <f>'DL 1'!E269</f>
        <v>0</v>
      </c>
      <c r="H268" s="21">
        <f>_xlfn.IFNA(VLOOKUP(TRIM('DL 1'!G269),Data!$A:$D,4,0),0)</f>
        <v>0</v>
      </c>
      <c r="I268">
        <f>_xlfn.IFNA(INDEX(Data!$G$5:$K$10,MATCH('DL 1'!D269,Data!$F$5:$F$10,1),MATCH(_xlfn.SINGLE(#REF!),Data!$G$4:$K$4,1)),0)</f>
        <v>0</v>
      </c>
      <c r="J268">
        <f>_xlfn.IFNA(IF(VLOOKUP(TRIM('DL 1'!G269),Data!$A:$C,3,0)="ST1",H268*I268*G268,IF(VLOOKUP(TRIM('DL 1'!G269),Data!$A:$C,3,0)="IR0",H268*G268,MIN(H268:I268)*G268)),0)</f>
        <v>0</v>
      </c>
      <c r="K268" t="e">
        <f>_xlfn.IFNA(VLOOKUP(TRIM(#REF!),Data!$A:$D,4,0)*#REF!,0)</f>
        <v>#REF!</v>
      </c>
      <c r="L268">
        <f>IF(TRIM('DL 1'!G269)="EDCLNHT0IRNLI",20000,0)</f>
        <v>0</v>
      </c>
      <c r="M268">
        <f>IF(ISERROR(MATCH('DL 1'!A269,#REF!,0)),0,J268*2)</f>
        <v>0</v>
      </c>
      <c r="N268" t="e">
        <f>#REF!</f>
        <v>#REF!</v>
      </c>
      <c r="O268">
        <f>_xlfn.IFNA(VLOOKUP(RIGHT(VLOOKUP(TRIM('DL 1'!G269),Data!$A:$B,2,0),1),Data!$L$23:$M$30,2,0),0)</f>
        <v>0</v>
      </c>
      <c r="P268">
        <f t="shared" si="50"/>
        <v>0</v>
      </c>
      <c r="Q268" s="7" t="b">
        <f t="shared" si="41"/>
        <v>0</v>
      </c>
      <c r="R268" s="27">
        <f>INCENTIVE!$E$8</f>
        <v>130000000</v>
      </c>
      <c r="S268">
        <f>'DL 1'!D269</f>
        <v>0</v>
      </c>
      <c r="T268" t="str">
        <f t="shared" si="42"/>
        <v>1</v>
      </c>
      <c r="V268" t="str">
        <f t="shared" si="43"/>
        <v>1</v>
      </c>
      <c r="W268">
        <f t="shared" si="44"/>
        <v>0.25</v>
      </c>
      <c r="X268" s="7">
        <f>'DL 1'!E269</f>
        <v>0</v>
      </c>
      <c r="Y268" s="69">
        <f>'DL 1'!G269</f>
        <v>0</v>
      </c>
      <c r="AC268" t="str">
        <f>IFERROR(VLOOKUP(Y268,Data!$G$65:$K$79,2,0) *X268,"")</f>
        <v/>
      </c>
      <c r="AD268" s="7">
        <f t="shared" si="45"/>
        <v>0</v>
      </c>
      <c r="AE268">
        <f>'DL 1'!F269</f>
        <v>0</v>
      </c>
      <c r="AF268" t="str">
        <f>IFERROR(VLOOKUP(Y268,Data!$G$65:$K$79,4,0),"")</f>
        <v/>
      </c>
      <c r="AG268" s="51" t="e">
        <f>#REF!</f>
        <v>#REF!</v>
      </c>
      <c r="AK268">
        <f t="shared" si="46"/>
        <v>0</v>
      </c>
      <c r="AL268">
        <f t="shared" si="47"/>
        <v>0</v>
      </c>
      <c r="AM268" s="70">
        <f t="shared" si="48"/>
        <v>0</v>
      </c>
      <c r="AN268" s="7" t="b">
        <f t="shared" si="49"/>
        <v>0</v>
      </c>
    </row>
    <row r="269" spans="1:40" x14ac:dyDescent="0.3">
      <c r="A269" s="50">
        <f>IF(D269="A",_xlfn.IFNA(INDEX(Data!$H$24:$J$28,MATCH('DL 1'!E270,Data!$G$24:$G$28,1),MATCH('DL 1'!D270,Data!$H$23:$J$23,1)),0),0)</f>
        <v>0</v>
      </c>
      <c r="B269">
        <f>IF('DL 1'!F270="Y",Q269,0)</f>
        <v>0</v>
      </c>
      <c r="C269" t="e">
        <f>_xlfn.IFNA(INDEX(Data!$H$24:$J$28,MATCH(#REF!,Data!$G$24:$G$28,1),MATCH(#REF!,Data!$H$23:$J$23,1)),0)</f>
        <v>#REF!</v>
      </c>
      <c r="D269" t="str">
        <f>RIGHT(TRIM('DL 1'!G270),1)</f>
        <v/>
      </c>
      <c r="E269" s="8">
        <f>'DL 1'!E270*'DL 1'!D270</f>
        <v>0</v>
      </c>
      <c r="F269" t="str">
        <f>_xlfn.IFNA(VLOOKUP(TRIM('DL 1'!G270),Data!$A:$C,3,0),"")</f>
        <v/>
      </c>
      <c r="G269" s="7">
        <f>'DL 1'!E270</f>
        <v>0</v>
      </c>
      <c r="H269" s="21">
        <f>_xlfn.IFNA(VLOOKUP(TRIM('DL 1'!G270),Data!$A:$D,4,0),0)</f>
        <v>0</v>
      </c>
      <c r="I269">
        <f>_xlfn.IFNA(INDEX(Data!$G$5:$K$10,MATCH('DL 1'!D270,Data!$F$5:$F$10,1),MATCH(_xlfn.SINGLE(#REF!),Data!$G$4:$K$4,1)),0)</f>
        <v>0</v>
      </c>
      <c r="J269">
        <f>_xlfn.IFNA(IF(VLOOKUP(TRIM('DL 1'!G270),Data!$A:$C,3,0)="ST1",H269*I269*G269,IF(VLOOKUP(TRIM('DL 1'!G270),Data!$A:$C,3,0)="IR0",H269*G269,MIN(H269:I269)*G269)),0)</f>
        <v>0</v>
      </c>
      <c r="K269" t="e">
        <f>_xlfn.IFNA(VLOOKUP(TRIM(#REF!),Data!$A:$D,4,0)*#REF!,0)</f>
        <v>#REF!</v>
      </c>
      <c r="L269">
        <f>IF(TRIM('DL 1'!G270)="EDCLNHT0IRNLI",20000,0)</f>
        <v>0</v>
      </c>
      <c r="M269">
        <f>IF(ISERROR(MATCH('DL 1'!A270,#REF!,0)),0,J269*2)</f>
        <v>0</v>
      </c>
      <c r="N269" t="e">
        <f>#REF!</f>
        <v>#REF!</v>
      </c>
      <c r="O269">
        <f>_xlfn.IFNA(VLOOKUP(RIGHT(VLOOKUP(TRIM('DL 1'!G270),Data!$A:$B,2,0),1),Data!$L$23:$M$30,2,0),0)</f>
        <v>0</v>
      </c>
      <c r="P269">
        <f t="shared" si="50"/>
        <v>0</v>
      </c>
      <c r="Q269" s="7" t="b">
        <f t="shared" si="41"/>
        <v>0</v>
      </c>
      <c r="R269" s="27">
        <f>INCENTIVE!$E$8</f>
        <v>130000000</v>
      </c>
      <c r="S269">
        <f>'DL 1'!D270</f>
        <v>0</v>
      </c>
      <c r="T269" t="str">
        <f t="shared" si="42"/>
        <v>1</v>
      </c>
      <c r="V269" t="str">
        <f t="shared" si="43"/>
        <v>1</v>
      </c>
      <c r="W269">
        <f t="shared" si="44"/>
        <v>0.25</v>
      </c>
      <c r="X269" s="7">
        <f>'DL 1'!E270</f>
        <v>0</v>
      </c>
      <c r="Y269" s="69">
        <f>'DL 1'!G270</f>
        <v>0</v>
      </c>
      <c r="AC269" t="str">
        <f>IFERROR(VLOOKUP(Y269,Data!$G$65:$K$79,2,0) *X269,"")</f>
        <v/>
      </c>
      <c r="AD269" s="7">
        <f t="shared" si="45"/>
        <v>0</v>
      </c>
      <c r="AE269">
        <f>'DL 1'!F270</f>
        <v>0</v>
      </c>
      <c r="AF269" t="str">
        <f>IFERROR(VLOOKUP(Y269,Data!$G$65:$K$79,4,0),"")</f>
        <v/>
      </c>
      <c r="AG269" s="51" t="e">
        <f>#REF!</f>
        <v>#REF!</v>
      </c>
      <c r="AK269">
        <f t="shared" si="46"/>
        <v>0</v>
      </c>
      <c r="AL269">
        <f t="shared" si="47"/>
        <v>0</v>
      </c>
      <c r="AM269" s="70">
        <f t="shared" si="48"/>
        <v>0</v>
      </c>
      <c r="AN269" s="7" t="b">
        <f t="shared" si="49"/>
        <v>0</v>
      </c>
    </row>
    <row r="270" spans="1:40" x14ac:dyDescent="0.3">
      <c r="A270" s="50">
        <f>IF(D270="A",_xlfn.IFNA(INDEX(Data!$H$24:$J$28,MATCH('DL 1'!E271,Data!$G$24:$G$28,1),MATCH('DL 1'!D271,Data!$H$23:$J$23,1)),0),0)</f>
        <v>0</v>
      </c>
      <c r="B270">
        <f>IF('DL 1'!F271="Y",Q270,0)</f>
        <v>0</v>
      </c>
      <c r="C270" t="e">
        <f>_xlfn.IFNA(INDEX(Data!$H$24:$J$28,MATCH(#REF!,Data!$G$24:$G$28,1),MATCH(#REF!,Data!$H$23:$J$23,1)),0)</f>
        <v>#REF!</v>
      </c>
      <c r="D270" t="str">
        <f>RIGHT(TRIM('DL 1'!G271),1)</f>
        <v/>
      </c>
      <c r="E270" s="8">
        <f>'DL 1'!E271*'DL 1'!D271</f>
        <v>0</v>
      </c>
      <c r="F270" t="str">
        <f>_xlfn.IFNA(VLOOKUP(TRIM('DL 1'!G271),Data!$A:$C,3,0),"")</f>
        <v/>
      </c>
      <c r="G270" s="7">
        <f>'DL 1'!E271</f>
        <v>0</v>
      </c>
      <c r="H270" s="21">
        <f>_xlfn.IFNA(VLOOKUP(TRIM('DL 1'!G271),Data!$A:$D,4,0),0)</f>
        <v>0</v>
      </c>
      <c r="I270">
        <f>_xlfn.IFNA(INDEX(Data!$G$5:$K$10,MATCH('DL 1'!D271,Data!$F$5:$F$10,1),MATCH(_xlfn.SINGLE(#REF!),Data!$G$4:$K$4,1)),0)</f>
        <v>0</v>
      </c>
      <c r="J270">
        <f>_xlfn.IFNA(IF(VLOOKUP(TRIM('DL 1'!G271),Data!$A:$C,3,0)="ST1",H270*I270*G270,IF(VLOOKUP(TRIM('DL 1'!G271),Data!$A:$C,3,0)="IR0",H270*G270,MIN(H270:I270)*G270)),0)</f>
        <v>0</v>
      </c>
      <c r="K270" t="e">
        <f>_xlfn.IFNA(VLOOKUP(TRIM(#REF!),Data!$A:$D,4,0)*#REF!,0)</f>
        <v>#REF!</v>
      </c>
      <c r="L270">
        <f>IF(TRIM('DL 1'!G271)="EDCLNHT0IRNLI",20000,0)</f>
        <v>0</v>
      </c>
      <c r="M270">
        <f>IF(ISERROR(MATCH('DL 1'!A271,#REF!,0)),0,J270*2)</f>
        <v>0</v>
      </c>
      <c r="N270" t="e">
        <f>#REF!</f>
        <v>#REF!</v>
      </c>
      <c r="O270">
        <f>_xlfn.IFNA(VLOOKUP(RIGHT(VLOOKUP(TRIM('DL 1'!G271),Data!$A:$B,2,0),1),Data!$L$23:$M$30,2,0),0)</f>
        <v>0</v>
      </c>
      <c r="P270">
        <f t="shared" si="50"/>
        <v>0</v>
      </c>
      <c r="Q270" s="7" t="b">
        <f t="shared" si="41"/>
        <v>0</v>
      </c>
      <c r="R270" s="27">
        <f>INCENTIVE!$E$8</f>
        <v>130000000</v>
      </c>
      <c r="S270">
        <f>'DL 1'!D271</f>
        <v>0</v>
      </c>
      <c r="T270" t="str">
        <f t="shared" si="42"/>
        <v>1</v>
      </c>
      <c r="V270" t="str">
        <f t="shared" si="43"/>
        <v>1</v>
      </c>
      <c r="W270">
        <f t="shared" si="44"/>
        <v>0.25</v>
      </c>
      <c r="X270" s="7">
        <f>'DL 1'!E271</f>
        <v>0</v>
      </c>
      <c r="Y270" s="69">
        <f>'DL 1'!G271</f>
        <v>0</v>
      </c>
      <c r="AC270" t="str">
        <f>IFERROR(VLOOKUP(Y270,Data!$G$65:$K$79,2,0) *X270,"")</f>
        <v/>
      </c>
      <c r="AD270" s="7">
        <f t="shared" si="45"/>
        <v>0</v>
      </c>
      <c r="AE270">
        <f>'DL 1'!F271</f>
        <v>0</v>
      </c>
      <c r="AF270" t="str">
        <f>IFERROR(VLOOKUP(Y270,Data!$G$65:$K$79,4,0),"")</f>
        <v/>
      </c>
      <c r="AG270" s="51" t="e">
        <f>#REF!</f>
        <v>#REF!</v>
      </c>
      <c r="AK270">
        <f t="shared" si="46"/>
        <v>0</v>
      </c>
      <c r="AL270">
        <f t="shared" si="47"/>
        <v>0</v>
      </c>
      <c r="AM270" s="70">
        <f t="shared" si="48"/>
        <v>0</v>
      </c>
      <c r="AN270" s="7" t="b">
        <f t="shared" si="49"/>
        <v>0</v>
      </c>
    </row>
    <row r="271" spans="1:40" x14ac:dyDescent="0.3">
      <c r="A271" s="50">
        <f>IF(D271="A",_xlfn.IFNA(INDEX(Data!$H$24:$J$28,MATCH('DL 1'!E272,Data!$G$24:$G$28,1),MATCH('DL 1'!D272,Data!$H$23:$J$23,1)),0),0)</f>
        <v>0</v>
      </c>
      <c r="B271">
        <f>IF('DL 1'!F272="Y",Q271,0)</f>
        <v>0</v>
      </c>
      <c r="C271" t="e">
        <f>_xlfn.IFNA(INDEX(Data!$H$24:$J$28,MATCH(#REF!,Data!$G$24:$G$28,1),MATCH(#REF!,Data!$H$23:$J$23,1)),0)</f>
        <v>#REF!</v>
      </c>
      <c r="D271" t="str">
        <f>RIGHT(TRIM('DL 1'!G272),1)</f>
        <v/>
      </c>
      <c r="E271" s="8">
        <f>'DL 1'!E272*'DL 1'!D272</f>
        <v>0</v>
      </c>
      <c r="F271" t="str">
        <f>_xlfn.IFNA(VLOOKUP(TRIM('DL 1'!G272),Data!$A:$C,3,0),"")</f>
        <v/>
      </c>
      <c r="G271" s="7">
        <f>'DL 1'!E272</f>
        <v>0</v>
      </c>
      <c r="H271" s="21">
        <f>_xlfn.IFNA(VLOOKUP(TRIM('DL 1'!G272),Data!$A:$D,4,0),0)</f>
        <v>0</v>
      </c>
      <c r="I271">
        <f>_xlfn.IFNA(INDEX(Data!$G$5:$K$10,MATCH('DL 1'!D272,Data!$F$5:$F$10,1),MATCH(_xlfn.SINGLE(#REF!),Data!$G$4:$K$4,1)),0)</f>
        <v>0</v>
      </c>
      <c r="J271">
        <f>_xlfn.IFNA(IF(VLOOKUP(TRIM('DL 1'!G272),Data!$A:$C,3,0)="ST1",H271*I271*G271,IF(VLOOKUP(TRIM('DL 1'!G272),Data!$A:$C,3,0)="IR0",H271*G271,MIN(H271:I271)*G271)),0)</f>
        <v>0</v>
      </c>
      <c r="K271" t="e">
        <f>_xlfn.IFNA(VLOOKUP(TRIM(#REF!),Data!$A:$D,4,0)*#REF!,0)</f>
        <v>#REF!</v>
      </c>
      <c r="L271">
        <f>IF(TRIM('DL 1'!G272)="EDCLNHT0IRNLI",20000,0)</f>
        <v>0</v>
      </c>
      <c r="M271">
        <f>IF(ISERROR(MATCH('DL 1'!A272,#REF!,0)),0,J271*2)</f>
        <v>0</v>
      </c>
      <c r="N271" t="e">
        <f>#REF!</f>
        <v>#REF!</v>
      </c>
      <c r="O271">
        <f>_xlfn.IFNA(VLOOKUP(RIGHT(VLOOKUP(TRIM('DL 1'!G272),Data!$A:$B,2,0),1),Data!$L$23:$M$30,2,0),0)</f>
        <v>0</v>
      </c>
      <c r="P271">
        <f t="shared" si="50"/>
        <v>0</v>
      </c>
      <c r="Q271" s="7" t="b">
        <f t="shared" si="41"/>
        <v>0</v>
      </c>
      <c r="R271" s="27">
        <f>INCENTIVE!$E$8</f>
        <v>130000000</v>
      </c>
      <c r="S271">
        <f>'DL 1'!D272</f>
        <v>0</v>
      </c>
      <c r="T271" t="str">
        <f t="shared" si="42"/>
        <v>1</v>
      </c>
      <c r="V271" t="str">
        <f t="shared" si="43"/>
        <v>1</v>
      </c>
      <c r="W271">
        <f t="shared" si="44"/>
        <v>0.25</v>
      </c>
      <c r="X271" s="7">
        <f>'DL 1'!E272</f>
        <v>0</v>
      </c>
      <c r="Y271" s="69">
        <f>'DL 1'!G272</f>
        <v>0</v>
      </c>
      <c r="AC271" t="str">
        <f>IFERROR(VLOOKUP(Y271,Data!$G$65:$K$79,2,0) *X271,"")</f>
        <v/>
      </c>
      <c r="AD271" s="7">
        <f t="shared" si="45"/>
        <v>0</v>
      </c>
      <c r="AE271">
        <f>'DL 1'!F272</f>
        <v>0</v>
      </c>
      <c r="AF271" t="str">
        <f>IFERROR(VLOOKUP(Y271,Data!$G$65:$K$79,4,0),"")</f>
        <v/>
      </c>
      <c r="AG271" s="51" t="e">
        <f>#REF!</f>
        <v>#REF!</v>
      </c>
      <c r="AK271">
        <f t="shared" si="46"/>
        <v>0</v>
      </c>
      <c r="AL271">
        <f t="shared" si="47"/>
        <v>0</v>
      </c>
      <c r="AM271" s="70">
        <f t="shared" si="48"/>
        <v>0</v>
      </c>
      <c r="AN271" s="7" t="b">
        <f t="shared" si="49"/>
        <v>0</v>
      </c>
    </row>
    <row r="272" spans="1:40" x14ac:dyDescent="0.3">
      <c r="A272" s="50">
        <f>IF(D272="A",_xlfn.IFNA(INDEX(Data!$H$24:$J$28,MATCH('DL 1'!E273,Data!$G$24:$G$28,1),MATCH('DL 1'!D273,Data!$H$23:$J$23,1)),0),0)</f>
        <v>0</v>
      </c>
      <c r="B272">
        <f>IF('DL 1'!F273="Y",Q272,0)</f>
        <v>0</v>
      </c>
      <c r="C272" t="e">
        <f>_xlfn.IFNA(INDEX(Data!$H$24:$J$28,MATCH(#REF!,Data!$G$24:$G$28,1),MATCH(#REF!,Data!$H$23:$J$23,1)),0)</f>
        <v>#REF!</v>
      </c>
      <c r="D272" t="str">
        <f>RIGHT(TRIM('DL 1'!G273),1)</f>
        <v/>
      </c>
      <c r="E272" s="8">
        <f>'DL 1'!E273*'DL 1'!D273</f>
        <v>0</v>
      </c>
      <c r="F272" t="str">
        <f>_xlfn.IFNA(VLOOKUP(TRIM('DL 1'!G273),Data!$A:$C,3,0),"")</f>
        <v/>
      </c>
      <c r="G272" s="7">
        <f>'DL 1'!E273</f>
        <v>0</v>
      </c>
      <c r="H272" s="21">
        <f>_xlfn.IFNA(VLOOKUP(TRIM('DL 1'!G273),Data!$A:$D,4,0),0)</f>
        <v>0</v>
      </c>
      <c r="I272">
        <f>_xlfn.IFNA(INDEX(Data!$G$5:$K$10,MATCH('DL 1'!D273,Data!$F$5:$F$10,1),MATCH(_xlfn.SINGLE(#REF!),Data!$G$4:$K$4,1)),0)</f>
        <v>0</v>
      </c>
      <c r="J272">
        <f>_xlfn.IFNA(IF(VLOOKUP(TRIM('DL 1'!G273),Data!$A:$C,3,0)="ST1",H272*I272*G272,IF(VLOOKUP(TRIM('DL 1'!G273),Data!$A:$C,3,0)="IR0",H272*G272,MIN(H272:I272)*G272)),0)</f>
        <v>0</v>
      </c>
      <c r="K272" t="e">
        <f>_xlfn.IFNA(VLOOKUP(TRIM(#REF!),Data!$A:$D,4,0)*#REF!,0)</f>
        <v>#REF!</v>
      </c>
      <c r="L272">
        <f>IF(TRIM('DL 1'!G273)="EDCLNHT0IRNLI",20000,0)</f>
        <v>0</v>
      </c>
      <c r="M272">
        <f>IF(ISERROR(MATCH('DL 1'!A273,#REF!,0)),0,J272*2)</f>
        <v>0</v>
      </c>
      <c r="N272" t="e">
        <f>#REF!</f>
        <v>#REF!</v>
      </c>
      <c r="O272">
        <f>_xlfn.IFNA(VLOOKUP(RIGHT(VLOOKUP(TRIM('DL 1'!G273),Data!$A:$B,2,0),1),Data!$L$23:$M$30,2,0),0)</f>
        <v>0</v>
      </c>
      <c r="P272">
        <f t="shared" si="50"/>
        <v>0</v>
      </c>
      <c r="Q272" s="7" t="b">
        <f t="shared" si="41"/>
        <v>0</v>
      </c>
      <c r="R272" s="27">
        <f>INCENTIVE!$E$8</f>
        <v>130000000</v>
      </c>
      <c r="S272">
        <f>'DL 1'!D273</f>
        <v>0</v>
      </c>
      <c r="T272" t="str">
        <f t="shared" si="42"/>
        <v>1</v>
      </c>
      <c r="V272" t="str">
        <f t="shared" si="43"/>
        <v>1</v>
      </c>
      <c r="W272">
        <f t="shared" si="44"/>
        <v>0.25</v>
      </c>
      <c r="X272" s="7">
        <f>'DL 1'!E273</f>
        <v>0</v>
      </c>
      <c r="Y272" s="69">
        <f>'DL 1'!G273</f>
        <v>0</v>
      </c>
      <c r="AC272" t="str">
        <f>IFERROR(VLOOKUP(Y272,Data!$G$65:$K$79,2,0) *X272,"")</f>
        <v/>
      </c>
      <c r="AD272" s="7">
        <f t="shared" si="45"/>
        <v>0</v>
      </c>
      <c r="AE272">
        <f>'DL 1'!F273</f>
        <v>0</v>
      </c>
      <c r="AF272" t="str">
        <f>IFERROR(VLOOKUP(Y272,Data!$G$65:$K$79,4,0),"")</f>
        <v/>
      </c>
      <c r="AG272" s="51" t="e">
        <f>#REF!</f>
        <v>#REF!</v>
      </c>
      <c r="AK272">
        <f t="shared" si="46"/>
        <v>0</v>
      </c>
      <c r="AL272">
        <f t="shared" si="47"/>
        <v>0</v>
      </c>
      <c r="AM272" s="70">
        <f t="shared" si="48"/>
        <v>0</v>
      </c>
      <c r="AN272" s="7" t="b">
        <f t="shared" si="49"/>
        <v>0</v>
      </c>
    </row>
    <row r="273" spans="1:40" x14ac:dyDescent="0.3">
      <c r="A273" s="50">
        <f>IF(D273="A",_xlfn.IFNA(INDEX(Data!$H$24:$J$28,MATCH('DL 1'!E274,Data!$G$24:$G$28,1),MATCH('DL 1'!D274,Data!$H$23:$J$23,1)),0),0)</f>
        <v>0</v>
      </c>
      <c r="B273">
        <f>IF('DL 1'!F274="Y",Q273,0)</f>
        <v>0</v>
      </c>
      <c r="C273" t="e">
        <f>_xlfn.IFNA(INDEX(Data!$H$24:$J$28,MATCH(#REF!,Data!$G$24:$G$28,1),MATCH(#REF!,Data!$H$23:$J$23,1)),0)</f>
        <v>#REF!</v>
      </c>
      <c r="D273" t="str">
        <f>RIGHT(TRIM('DL 1'!G274),1)</f>
        <v/>
      </c>
      <c r="E273" s="8">
        <f>'DL 1'!E274*'DL 1'!D274</f>
        <v>0</v>
      </c>
      <c r="F273" t="str">
        <f>_xlfn.IFNA(VLOOKUP(TRIM('DL 1'!G274),Data!$A:$C,3,0),"")</f>
        <v/>
      </c>
      <c r="G273" s="7">
        <f>'DL 1'!E274</f>
        <v>0</v>
      </c>
      <c r="H273" s="21">
        <f>_xlfn.IFNA(VLOOKUP(TRIM('DL 1'!G274),Data!$A:$D,4,0),0)</f>
        <v>0</v>
      </c>
      <c r="I273">
        <f>_xlfn.IFNA(INDEX(Data!$G$5:$K$10,MATCH('DL 1'!D274,Data!$F$5:$F$10,1),MATCH(_xlfn.SINGLE(#REF!),Data!$G$4:$K$4,1)),0)</f>
        <v>0</v>
      </c>
      <c r="J273">
        <f>_xlfn.IFNA(IF(VLOOKUP(TRIM('DL 1'!G274),Data!$A:$C,3,0)="ST1",H273*I273*G273,IF(VLOOKUP(TRIM('DL 1'!G274),Data!$A:$C,3,0)="IR0",H273*G273,MIN(H273:I273)*G273)),0)</f>
        <v>0</v>
      </c>
      <c r="K273" t="e">
        <f>_xlfn.IFNA(VLOOKUP(TRIM(#REF!),Data!$A:$D,4,0)*#REF!,0)</f>
        <v>#REF!</v>
      </c>
      <c r="L273">
        <f>IF(TRIM('DL 1'!G274)="EDCLNHT0IRNLI",20000,0)</f>
        <v>0</v>
      </c>
      <c r="M273">
        <f>IF(ISERROR(MATCH('DL 1'!A274,#REF!,0)),0,J273*2)</f>
        <v>0</v>
      </c>
      <c r="N273" t="e">
        <f>#REF!</f>
        <v>#REF!</v>
      </c>
      <c r="O273">
        <f>_xlfn.IFNA(VLOOKUP(RIGHT(VLOOKUP(TRIM('DL 1'!G274),Data!$A:$B,2,0),1),Data!$L$23:$M$30,2,0),0)</f>
        <v>0</v>
      </c>
      <c r="P273">
        <f t="shared" si="50"/>
        <v>0</v>
      </c>
      <c r="Q273" s="7" t="b">
        <f t="shared" si="41"/>
        <v>0</v>
      </c>
      <c r="R273" s="27">
        <f>INCENTIVE!$E$8</f>
        <v>130000000</v>
      </c>
      <c r="S273">
        <f>'DL 1'!D274</f>
        <v>0</v>
      </c>
      <c r="T273" t="str">
        <f t="shared" si="42"/>
        <v>1</v>
      </c>
      <c r="V273" t="str">
        <f t="shared" si="43"/>
        <v>1</v>
      </c>
      <c r="W273">
        <f t="shared" si="44"/>
        <v>0.25</v>
      </c>
      <c r="X273" s="7">
        <f>'DL 1'!E274</f>
        <v>0</v>
      </c>
      <c r="Y273" s="69">
        <f>'DL 1'!G274</f>
        <v>0</v>
      </c>
      <c r="AC273" t="str">
        <f>IFERROR(VLOOKUP(Y273,Data!$G$65:$K$79,2,0) *X273,"")</f>
        <v/>
      </c>
      <c r="AD273" s="7">
        <f t="shared" si="45"/>
        <v>0</v>
      </c>
      <c r="AE273">
        <f>'DL 1'!F274</f>
        <v>0</v>
      </c>
      <c r="AF273" t="str">
        <f>IFERROR(VLOOKUP(Y273,Data!$G$65:$K$79,4,0),"")</f>
        <v/>
      </c>
      <c r="AG273" s="51" t="e">
        <f>#REF!</f>
        <v>#REF!</v>
      </c>
      <c r="AK273">
        <f t="shared" si="46"/>
        <v>0</v>
      </c>
      <c r="AL273">
        <f t="shared" si="47"/>
        <v>0</v>
      </c>
      <c r="AM273" s="70">
        <f t="shared" si="48"/>
        <v>0</v>
      </c>
      <c r="AN273" s="7" t="b">
        <f t="shared" si="49"/>
        <v>0</v>
      </c>
    </row>
    <row r="274" spans="1:40" x14ac:dyDescent="0.3">
      <c r="A274" s="50">
        <f>IF(D274="A",_xlfn.IFNA(INDEX(Data!$H$24:$J$28,MATCH('DL 1'!E275,Data!$G$24:$G$28,1),MATCH('DL 1'!D275,Data!$H$23:$J$23,1)),0),0)</f>
        <v>0</v>
      </c>
      <c r="B274">
        <f>IF('DL 1'!F275="Y",Q274,0)</f>
        <v>0</v>
      </c>
      <c r="C274" t="e">
        <f>_xlfn.IFNA(INDEX(Data!$H$24:$J$28,MATCH(#REF!,Data!$G$24:$G$28,1),MATCH(#REF!,Data!$H$23:$J$23,1)),0)</f>
        <v>#REF!</v>
      </c>
      <c r="D274" t="str">
        <f>RIGHT(TRIM('DL 1'!G275),1)</f>
        <v/>
      </c>
      <c r="E274" s="8">
        <f>'DL 1'!E275*'DL 1'!D275</f>
        <v>0</v>
      </c>
      <c r="F274" t="str">
        <f>_xlfn.IFNA(VLOOKUP(TRIM('DL 1'!G275),Data!$A:$C,3,0),"")</f>
        <v/>
      </c>
      <c r="G274" s="7">
        <f>'DL 1'!E275</f>
        <v>0</v>
      </c>
      <c r="H274" s="21">
        <f>_xlfn.IFNA(VLOOKUP(TRIM('DL 1'!G275),Data!$A:$D,4,0),0)</f>
        <v>0</v>
      </c>
      <c r="I274">
        <f>_xlfn.IFNA(INDEX(Data!$G$5:$K$10,MATCH('DL 1'!D275,Data!$F$5:$F$10,1),MATCH(_xlfn.SINGLE(#REF!),Data!$G$4:$K$4,1)),0)</f>
        <v>0</v>
      </c>
      <c r="J274">
        <f>_xlfn.IFNA(IF(VLOOKUP(TRIM('DL 1'!G275),Data!$A:$C,3,0)="ST1",H274*I274*G274,IF(VLOOKUP(TRIM('DL 1'!G275),Data!$A:$C,3,0)="IR0",H274*G274,MIN(H274:I274)*G274)),0)</f>
        <v>0</v>
      </c>
      <c r="K274" t="e">
        <f>_xlfn.IFNA(VLOOKUP(TRIM(#REF!),Data!$A:$D,4,0)*#REF!,0)</f>
        <v>#REF!</v>
      </c>
      <c r="L274">
        <f>IF(TRIM('DL 1'!G275)="EDCLNHT0IRNLI",20000,0)</f>
        <v>0</v>
      </c>
      <c r="M274">
        <f>IF(ISERROR(MATCH('DL 1'!A275,#REF!,0)),0,J274*2)</f>
        <v>0</v>
      </c>
      <c r="N274" t="e">
        <f>#REF!</f>
        <v>#REF!</v>
      </c>
      <c r="O274">
        <f>_xlfn.IFNA(VLOOKUP(RIGHT(VLOOKUP(TRIM('DL 1'!G275),Data!$A:$B,2,0),1),Data!$L$23:$M$30,2,0),0)</f>
        <v>0</v>
      </c>
      <c r="P274">
        <f t="shared" si="50"/>
        <v>0</v>
      </c>
      <c r="Q274" s="7" t="b">
        <f t="shared" si="41"/>
        <v>0</v>
      </c>
      <c r="R274" s="27">
        <f>INCENTIVE!$E$8</f>
        <v>130000000</v>
      </c>
      <c r="S274">
        <f>'DL 1'!D275</f>
        <v>0</v>
      </c>
      <c r="T274" t="str">
        <f t="shared" si="42"/>
        <v>1</v>
      </c>
      <c r="V274" t="str">
        <f t="shared" si="43"/>
        <v>1</v>
      </c>
      <c r="W274">
        <f t="shared" si="44"/>
        <v>0.25</v>
      </c>
      <c r="X274" s="7">
        <f>'DL 1'!E275</f>
        <v>0</v>
      </c>
      <c r="Y274" s="69">
        <f>'DL 1'!G275</f>
        <v>0</v>
      </c>
      <c r="AC274" t="str">
        <f>IFERROR(VLOOKUP(Y274,Data!$G$65:$K$79,2,0) *X274,"")</f>
        <v/>
      </c>
      <c r="AD274" s="7">
        <f t="shared" si="45"/>
        <v>0</v>
      </c>
      <c r="AE274">
        <f>'DL 1'!F275</f>
        <v>0</v>
      </c>
      <c r="AF274" t="str">
        <f>IFERROR(VLOOKUP(Y274,Data!$G$65:$K$79,4,0),"")</f>
        <v/>
      </c>
      <c r="AG274" s="51" t="e">
        <f>#REF!</f>
        <v>#REF!</v>
      </c>
      <c r="AK274">
        <f t="shared" si="46"/>
        <v>0</v>
      </c>
      <c r="AL274">
        <f t="shared" si="47"/>
        <v>0</v>
      </c>
      <c r="AM274" s="70">
        <f t="shared" si="48"/>
        <v>0</v>
      </c>
      <c r="AN274" s="7" t="b">
        <f t="shared" si="49"/>
        <v>0</v>
      </c>
    </row>
    <row r="275" spans="1:40" x14ac:dyDescent="0.3">
      <c r="A275" s="50">
        <f>IF(D275="A",_xlfn.IFNA(INDEX(Data!$H$24:$J$28,MATCH('DL 1'!E276,Data!$G$24:$G$28,1),MATCH('DL 1'!D276,Data!$H$23:$J$23,1)),0),0)</f>
        <v>0</v>
      </c>
      <c r="B275">
        <f>IF('DL 1'!F276="Y",Q275,0)</f>
        <v>0</v>
      </c>
      <c r="C275" t="e">
        <f>_xlfn.IFNA(INDEX(Data!$H$24:$J$28,MATCH(#REF!,Data!$G$24:$G$28,1),MATCH(#REF!,Data!$H$23:$J$23,1)),0)</f>
        <v>#REF!</v>
      </c>
      <c r="D275" t="str">
        <f>RIGHT(TRIM('DL 1'!G276),1)</f>
        <v/>
      </c>
      <c r="E275" s="8">
        <f>'DL 1'!E276*'DL 1'!D276</f>
        <v>0</v>
      </c>
      <c r="F275" t="str">
        <f>_xlfn.IFNA(VLOOKUP(TRIM('DL 1'!G276),Data!$A:$C,3,0),"")</f>
        <v/>
      </c>
      <c r="G275" s="7">
        <f>'DL 1'!E276</f>
        <v>0</v>
      </c>
      <c r="H275" s="21">
        <f>_xlfn.IFNA(VLOOKUP(TRIM('DL 1'!G276),Data!$A:$D,4,0),0)</f>
        <v>0</v>
      </c>
      <c r="I275">
        <f>_xlfn.IFNA(INDEX(Data!$G$5:$K$10,MATCH('DL 1'!D276,Data!$F$5:$F$10,1),MATCH(_xlfn.SINGLE(#REF!),Data!$G$4:$K$4,1)),0)</f>
        <v>0</v>
      </c>
      <c r="J275">
        <f>_xlfn.IFNA(IF(VLOOKUP(TRIM('DL 1'!G276),Data!$A:$C,3,0)="ST1",H275*I275*G275,IF(VLOOKUP(TRIM('DL 1'!G276),Data!$A:$C,3,0)="IR0",H275*G275,MIN(H275:I275)*G275)),0)</f>
        <v>0</v>
      </c>
      <c r="K275" t="e">
        <f>_xlfn.IFNA(VLOOKUP(TRIM(#REF!),Data!$A:$D,4,0)*#REF!,0)</f>
        <v>#REF!</v>
      </c>
      <c r="L275">
        <f>IF(TRIM('DL 1'!G276)="EDCLNHT0IRNLI",20000,0)</f>
        <v>0</v>
      </c>
      <c r="M275">
        <f>IF(ISERROR(MATCH('DL 1'!A276,#REF!,0)),0,J275*2)</f>
        <v>0</v>
      </c>
      <c r="N275" t="e">
        <f>#REF!</f>
        <v>#REF!</v>
      </c>
      <c r="O275">
        <f>_xlfn.IFNA(VLOOKUP(RIGHT(VLOOKUP(TRIM('DL 1'!G276),Data!$A:$B,2,0),1),Data!$L$23:$M$30,2,0),0)</f>
        <v>0</v>
      </c>
      <c r="P275">
        <f t="shared" si="50"/>
        <v>0</v>
      </c>
      <c r="Q275" s="7" t="b">
        <f t="shared" si="41"/>
        <v>0</v>
      </c>
      <c r="R275" s="27">
        <f>INCENTIVE!$E$8</f>
        <v>130000000</v>
      </c>
      <c r="S275">
        <f>'DL 1'!D276</f>
        <v>0</v>
      </c>
      <c r="T275" t="str">
        <f t="shared" si="42"/>
        <v>1</v>
      </c>
      <c r="V275" t="str">
        <f t="shared" si="43"/>
        <v>1</v>
      </c>
      <c r="W275">
        <f t="shared" si="44"/>
        <v>0.25</v>
      </c>
      <c r="X275" s="7">
        <f>'DL 1'!E276</f>
        <v>0</v>
      </c>
      <c r="Y275" s="69">
        <f>'DL 1'!G276</f>
        <v>0</v>
      </c>
      <c r="AC275" t="str">
        <f>IFERROR(VLOOKUP(Y275,Data!$G$65:$K$79,2,0) *X275,"")</f>
        <v/>
      </c>
      <c r="AD275" s="7">
        <f t="shared" si="45"/>
        <v>0</v>
      </c>
      <c r="AE275">
        <f>'DL 1'!F276</f>
        <v>0</v>
      </c>
      <c r="AF275" t="str">
        <f>IFERROR(VLOOKUP(Y275,Data!$G$65:$K$79,4,0),"")</f>
        <v/>
      </c>
      <c r="AG275" s="51" t="e">
        <f>#REF!</f>
        <v>#REF!</v>
      </c>
      <c r="AK275">
        <f t="shared" si="46"/>
        <v>0</v>
      </c>
      <c r="AL275">
        <f t="shared" si="47"/>
        <v>0</v>
      </c>
      <c r="AM275" s="70">
        <f t="shared" si="48"/>
        <v>0</v>
      </c>
      <c r="AN275" s="7" t="b">
        <f t="shared" si="49"/>
        <v>0</v>
      </c>
    </row>
    <row r="276" spans="1:40" x14ac:dyDescent="0.3">
      <c r="A276" s="50">
        <f>IF(D276="A",_xlfn.IFNA(INDEX(Data!$H$24:$J$28,MATCH('DL 1'!E277,Data!$G$24:$G$28,1),MATCH('DL 1'!D277,Data!$H$23:$J$23,1)),0),0)</f>
        <v>0</v>
      </c>
      <c r="B276">
        <f>IF('DL 1'!F277="Y",Q276,0)</f>
        <v>0</v>
      </c>
      <c r="C276" t="e">
        <f>_xlfn.IFNA(INDEX(Data!$H$24:$J$28,MATCH(#REF!,Data!$G$24:$G$28,1),MATCH(#REF!,Data!$H$23:$J$23,1)),0)</f>
        <v>#REF!</v>
      </c>
      <c r="D276" t="str">
        <f>RIGHT(TRIM('DL 1'!G277),1)</f>
        <v/>
      </c>
      <c r="E276" s="8">
        <f>'DL 1'!E277*'DL 1'!D277</f>
        <v>0</v>
      </c>
      <c r="F276" t="str">
        <f>_xlfn.IFNA(VLOOKUP(TRIM('DL 1'!G277),Data!$A:$C,3,0),"")</f>
        <v/>
      </c>
      <c r="G276" s="7">
        <f>'DL 1'!E277</f>
        <v>0</v>
      </c>
      <c r="H276" s="21">
        <f>_xlfn.IFNA(VLOOKUP(TRIM('DL 1'!G277),Data!$A:$D,4,0),0)</f>
        <v>0</v>
      </c>
      <c r="I276">
        <f>_xlfn.IFNA(INDEX(Data!$G$5:$K$10,MATCH('DL 1'!D277,Data!$F$5:$F$10,1),MATCH(_xlfn.SINGLE(#REF!),Data!$G$4:$K$4,1)),0)</f>
        <v>0</v>
      </c>
      <c r="J276">
        <f>_xlfn.IFNA(IF(VLOOKUP(TRIM('DL 1'!G277),Data!$A:$C,3,0)="ST1",H276*I276*G276,IF(VLOOKUP(TRIM('DL 1'!G277),Data!$A:$C,3,0)="IR0",H276*G276,MIN(H276:I276)*G276)),0)</f>
        <v>0</v>
      </c>
      <c r="K276" t="e">
        <f>_xlfn.IFNA(VLOOKUP(TRIM(#REF!),Data!$A:$D,4,0)*#REF!,0)</f>
        <v>#REF!</v>
      </c>
      <c r="L276">
        <f>IF(TRIM('DL 1'!G277)="EDCLNHT0IRNLI",20000,0)</f>
        <v>0</v>
      </c>
      <c r="M276">
        <f>IF(ISERROR(MATCH('DL 1'!A277,#REF!,0)),0,J276*2)</f>
        <v>0</v>
      </c>
      <c r="N276" t="e">
        <f>#REF!</f>
        <v>#REF!</v>
      </c>
      <c r="O276">
        <f>_xlfn.IFNA(VLOOKUP(RIGHT(VLOOKUP(TRIM('DL 1'!G277),Data!$A:$B,2,0),1),Data!$L$23:$M$30,2,0),0)</f>
        <v>0</v>
      </c>
      <c r="P276">
        <f t="shared" si="50"/>
        <v>0</v>
      </c>
      <c r="Q276" s="7" t="b">
        <f t="shared" si="41"/>
        <v>0</v>
      </c>
      <c r="R276" s="27">
        <f>INCENTIVE!$E$8</f>
        <v>130000000</v>
      </c>
      <c r="S276">
        <f>'DL 1'!D277</f>
        <v>0</v>
      </c>
      <c r="T276" t="str">
        <f t="shared" si="42"/>
        <v>1</v>
      </c>
      <c r="V276" t="str">
        <f t="shared" si="43"/>
        <v>1</v>
      </c>
      <c r="W276">
        <f t="shared" si="44"/>
        <v>0.25</v>
      </c>
      <c r="X276" s="7">
        <f>'DL 1'!E277</f>
        <v>0</v>
      </c>
      <c r="Y276" s="69">
        <f>'DL 1'!G277</f>
        <v>0</v>
      </c>
      <c r="AC276" t="str">
        <f>IFERROR(VLOOKUP(Y276,Data!$G$65:$K$79,2,0) *X276,"")</f>
        <v/>
      </c>
      <c r="AD276" s="7">
        <f t="shared" si="45"/>
        <v>0</v>
      </c>
      <c r="AE276">
        <f>'DL 1'!F277</f>
        <v>0</v>
      </c>
      <c r="AF276" t="str">
        <f>IFERROR(VLOOKUP(Y276,Data!$G$65:$K$79,4,0),"")</f>
        <v/>
      </c>
      <c r="AG276" s="51" t="e">
        <f>#REF!</f>
        <v>#REF!</v>
      </c>
      <c r="AK276">
        <f t="shared" si="46"/>
        <v>0</v>
      </c>
      <c r="AL276">
        <f t="shared" si="47"/>
        <v>0</v>
      </c>
      <c r="AM276" s="70">
        <f t="shared" si="48"/>
        <v>0</v>
      </c>
      <c r="AN276" s="7" t="b">
        <f t="shared" si="49"/>
        <v>0</v>
      </c>
    </row>
    <row r="277" spans="1:40" x14ac:dyDescent="0.3">
      <c r="A277" s="50">
        <f>IF(D277="A",_xlfn.IFNA(INDEX(Data!$H$24:$J$28,MATCH('DL 1'!E278,Data!$G$24:$G$28,1),MATCH('DL 1'!D278,Data!$H$23:$J$23,1)),0),0)</f>
        <v>0</v>
      </c>
      <c r="B277">
        <f>IF('DL 1'!F278="Y",Q277,0)</f>
        <v>0</v>
      </c>
      <c r="C277" t="e">
        <f>_xlfn.IFNA(INDEX(Data!$H$24:$J$28,MATCH(#REF!,Data!$G$24:$G$28,1),MATCH(#REF!,Data!$H$23:$J$23,1)),0)</f>
        <v>#REF!</v>
      </c>
      <c r="D277" t="str">
        <f>RIGHT(TRIM('DL 1'!G278),1)</f>
        <v/>
      </c>
      <c r="E277" s="8">
        <f>'DL 1'!E278*'DL 1'!D278</f>
        <v>0</v>
      </c>
      <c r="F277" t="str">
        <f>_xlfn.IFNA(VLOOKUP(TRIM('DL 1'!G278),Data!$A:$C,3,0),"")</f>
        <v/>
      </c>
      <c r="G277" s="7">
        <f>'DL 1'!E278</f>
        <v>0</v>
      </c>
      <c r="H277" s="21">
        <f>_xlfn.IFNA(VLOOKUP(TRIM('DL 1'!G278),Data!$A:$D,4,0),0)</f>
        <v>0</v>
      </c>
      <c r="I277">
        <f>_xlfn.IFNA(INDEX(Data!$G$5:$K$10,MATCH('DL 1'!D278,Data!$F$5:$F$10,1),MATCH(_xlfn.SINGLE(#REF!),Data!$G$4:$K$4,1)),0)</f>
        <v>0</v>
      </c>
      <c r="J277">
        <f>_xlfn.IFNA(IF(VLOOKUP(TRIM('DL 1'!G278),Data!$A:$C,3,0)="ST1",H277*I277*G277,IF(VLOOKUP(TRIM('DL 1'!G278),Data!$A:$C,3,0)="IR0",H277*G277,MIN(H277:I277)*G277)),0)</f>
        <v>0</v>
      </c>
      <c r="K277" t="e">
        <f>_xlfn.IFNA(VLOOKUP(TRIM(#REF!),Data!$A:$D,4,0)*#REF!,0)</f>
        <v>#REF!</v>
      </c>
      <c r="L277">
        <f>IF(TRIM('DL 1'!G278)="EDCLNHT0IRNLI",20000,0)</f>
        <v>0</v>
      </c>
      <c r="M277">
        <f>IF(ISERROR(MATCH('DL 1'!A278,#REF!,0)),0,J277*2)</f>
        <v>0</v>
      </c>
      <c r="N277" t="e">
        <f>#REF!</f>
        <v>#REF!</v>
      </c>
      <c r="O277">
        <f>_xlfn.IFNA(VLOOKUP(RIGHT(VLOOKUP(TRIM('DL 1'!G278),Data!$A:$B,2,0),1),Data!$L$23:$M$30,2,0),0)</f>
        <v>0</v>
      </c>
      <c r="P277">
        <f t="shared" si="50"/>
        <v>0</v>
      </c>
      <c r="Q277" s="7" t="b">
        <f t="shared" si="41"/>
        <v>0</v>
      </c>
      <c r="R277" s="27">
        <f>INCENTIVE!$E$8</f>
        <v>130000000</v>
      </c>
      <c r="S277">
        <f>'DL 1'!D278</f>
        <v>0</v>
      </c>
      <c r="T277" t="str">
        <f t="shared" si="42"/>
        <v>1</v>
      </c>
      <c r="V277" t="str">
        <f t="shared" si="43"/>
        <v>1</v>
      </c>
      <c r="W277">
        <f t="shared" si="44"/>
        <v>0.25</v>
      </c>
      <c r="X277" s="7">
        <f>'DL 1'!E278</f>
        <v>0</v>
      </c>
      <c r="Y277" s="69">
        <f>'DL 1'!G278</f>
        <v>0</v>
      </c>
      <c r="AC277" t="str">
        <f>IFERROR(VLOOKUP(Y277,Data!$G$65:$K$79,2,0) *X277,"")</f>
        <v/>
      </c>
      <c r="AD277" s="7">
        <f t="shared" si="45"/>
        <v>0</v>
      </c>
      <c r="AE277">
        <f>'DL 1'!F278</f>
        <v>0</v>
      </c>
      <c r="AF277" t="str">
        <f>IFERROR(VLOOKUP(Y277,Data!$G$65:$K$79,4,0),"")</f>
        <v/>
      </c>
      <c r="AG277" s="51" t="e">
        <f>#REF!</f>
        <v>#REF!</v>
      </c>
      <c r="AK277">
        <f t="shared" si="46"/>
        <v>0</v>
      </c>
      <c r="AL277">
        <f t="shared" si="47"/>
        <v>0</v>
      </c>
      <c r="AM277" s="70">
        <f t="shared" si="48"/>
        <v>0</v>
      </c>
      <c r="AN277" s="7" t="b">
        <f t="shared" si="49"/>
        <v>0</v>
      </c>
    </row>
    <row r="278" spans="1:40" x14ac:dyDescent="0.3">
      <c r="A278" s="50">
        <f>IF(D278="A",_xlfn.IFNA(INDEX(Data!$H$24:$J$28,MATCH('DL 1'!E279,Data!$G$24:$G$28,1),MATCH('DL 1'!D279,Data!$H$23:$J$23,1)),0),0)</f>
        <v>0</v>
      </c>
      <c r="B278">
        <f>IF('DL 1'!F279="Y",Q278,0)</f>
        <v>0</v>
      </c>
      <c r="C278" t="e">
        <f>_xlfn.IFNA(INDEX(Data!$H$24:$J$28,MATCH(#REF!,Data!$G$24:$G$28,1),MATCH(#REF!,Data!$H$23:$J$23,1)),0)</f>
        <v>#REF!</v>
      </c>
      <c r="D278" t="str">
        <f>RIGHT(TRIM('DL 1'!G279),1)</f>
        <v/>
      </c>
      <c r="E278" s="8">
        <f>'DL 1'!E279*'DL 1'!D279</f>
        <v>0</v>
      </c>
      <c r="F278" t="str">
        <f>_xlfn.IFNA(VLOOKUP(TRIM('DL 1'!G279),Data!$A:$C,3,0),"")</f>
        <v/>
      </c>
      <c r="G278" s="7">
        <f>'DL 1'!E279</f>
        <v>0</v>
      </c>
      <c r="H278" s="21">
        <f>_xlfn.IFNA(VLOOKUP(TRIM('DL 1'!G279),Data!$A:$D,4,0),0)</f>
        <v>0</v>
      </c>
      <c r="I278">
        <f>_xlfn.IFNA(INDEX(Data!$G$5:$K$10,MATCH('DL 1'!D279,Data!$F$5:$F$10,1),MATCH(_xlfn.SINGLE(#REF!),Data!$G$4:$K$4,1)),0)</f>
        <v>0</v>
      </c>
      <c r="J278">
        <f>_xlfn.IFNA(IF(VLOOKUP(TRIM('DL 1'!G279),Data!$A:$C,3,0)="ST1",H278*I278*G278,IF(VLOOKUP(TRIM('DL 1'!G279),Data!$A:$C,3,0)="IR0",H278*G278,MIN(H278:I278)*G278)),0)</f>
        <v>0</v>
      </c>
      <c r="K278" t="e">
        <f>_xlfn.IFNA(VLOOKUP(TRIM(#REF!),Data!$A:$D,4,0)*#REF!,0)</f>
        <v>#REF!</v>
      </c>
      <c r="L278">
        <f>IF(TRIM('DL 1'!G279)="EDCLNHT0IRNLI",20000,0)</f>
        <v>0</v>
      </c>
      <c r="M278">
        <f>IF(ISERROR(MATCH('DL 1'!A279,#REF!,0)),0,J278*2)</f>
        <v>0</v>
      </c>
      <c r="N278" t="e">
        <f>#REF!</f>
        <v>#REF!</v>
      </c>
      <c r="O278">
        <f>_xlfn.IFNA(VLOOKUP(RIGHT(VLOOKUP(TRIM('DL 1'!G279),Data!$A:$B,2,0),1),Data!$L$23:$M$30,2,0),0)</f>
        <v>0</v>
      </c>
      <c r="P278">
        <f t="shared" si="50"/>
        <v>0</v>
      </c>
      <c r="Q278" s="7" t="b">
        <f t="shared" si="41"/>
        <v>0</v>
      </c>
      <c r="R278" s="27">
        <f>INCENTIVE!$E$8</f>
        <v>130000000</v>
      </c>
      <c r="S278">
        <f>'DL 1'!D279</f>
        <v>0</v>
      </c>
      <c r="T278" t="str">
        <f t="shared" si="42"/>
        <v>1</v>
      </c>
      <c r="V278" t="str">
        <f t="shared" si="43"/>
        <v>1</v>
      </c>
      <c r="W278">
        <f t="shared" si="44"/>
        <v>0.25</v>
      </c>
      <c r="X278" s="7">
        <f>'DL 1'!E279</f>
        <v>0</v>
      </c>
      <c r="Y278" s="69">
        <f>'DL 1'!G279</f>
        <v>0</v>
      </c>
      <c r="AC278" t="str">
        <f>IFERROR(VLOOKUP(Y278,Data!$G$65:$K$79,2,0) *X278,"")</f>
        <v/>
      </c>
      <c r="AD278" s="7">
        <f t="shared" si="45"/>
        <v>0</v>
      </c>
      <c r="AE278">
        <f>'DL 1'!F279</f>
        <v>0</v>
      </c>
      <c r="AF278" t="str">
        <f>IFERROR(VLOOKUP(Y278,Data!$G$65:$K$79,4,0),"")</f>
        <v/>
      </c>
      <c r="AG278" s="51" t="e">
        <f>#REF!</f>
        <v>#REF!</v>
      </c>
      <c r="AK278">
        <f t="shared" si="46"/>
        <v>0</v>
      </c>
      <c r="AL278">
        <f t="shared" si="47"/>
        <v>0</v>
      </c>
      <c r="AM278" s="70">
        <f t="shared" si="48"/>
        <v>0</v>
      </c>
      <c r="AN278" s="7" t="b">
        <f t="shared" si="49"/>
        <v>0</v>
      </c>
    </row>
    <row r="279" spans="1:40" x14ac:dyDescent="0.3">
      <c r="A279" s="50">
        <f>IF(D279="A",_xlfn.IFNA(INDEX(Data!$H$24:$J$28,MATCH('DL 1'!E280,Data!$G$24:$G$28,1),MATCH('DL 1'!D280,Data!$H$23:$J$23,1)),0),0)</f>
        <v>0</v>
      </c>
      <c r="B279">
        <f>IF('DL 1'!F280="Y",Q279,0)</f>
        <v>0</v>
      </c>
      <c r="C279" t="e">
        <f>_xlfn.IFNA(INDEX(Data!$H$24:$J$28,MATCH(#REF!,Data!$G$24:$G$28,1),MATCH(#REF!,Data!$H$23:$J$23,1)),0)</f>
        <v>#REF!</v>
      </c>
      <c r="D279" t="str">
        <f>RIGHT(TRIM('DL 1'!G280),1)</f>
        <v/>
      </c>
      <c r="E279" s="8">
        <f>'DL 1'!E280*'DL 1'!D280</f>
        <v>0</v>
      </c>
      <c r="F279" t="str">
        <f>_xlfn.IFNA(VLOOKUP(TRIM('DL 1'!G280),Data!$A:$C,3,0),"")</f>
        <v/>
      </c>
      <c r="G279" s="7">
        <f>'DL 1'!E280</f>
        <v>0</v>
      </c>
      <c r="H279" s="21">
        <f>_xlfn.IFNA(VLOOKUP(TRIM('DL 1'!G280),Data!$A:$D,4,0),0)</f>
        <v>0</v>
      </c>
      <c r="I279">
        <f>_xlfn.IFNA(INDEX(Data!$G$5:$K$10,MATCH('DL 1'!D280,Data!$F$5:$F$10,1),MATCH(_xlfn.SINGLE(#REF!),Data!$G$4:$K$4,1)),0)</f>
        <v>0</v>
      </c>
      <c r="J279">
        <f>_xlfn.IFNA(IF(VLOOKUP(TRIM('DL 1'!G280),Data!$A:$C,3,0)="ST1",H279*I279*G279,IF(VLOOKUP(TRIM('DL 1'!G280),Data!$A:$C,3,0)="IR0",H279*G279,MIN(H279:I279)*G279)),0)</f>
        <v>0</v>
      </c>
      <c r="K279" t="e">
        <f>_xlfn.IFNA(VLOOKUP(TRIM(#REF!),Data!$A:$D,4,0)*#REF!,0)</f>
        <v>#REF!</v>
      </c>
      <c r="L279">
        <f>IF(TRIM('DL 1'!G280)="EDCLNHT0IRNLI",20000,0)</f>
        <v>0</v>
      </c>
      <c r="M279">
        <f>IF(ISERROR(MATCH('DL 1'!A280,#REF!,0)),0,J279*2)</f>
        <v>0</v>
      </c>
      <c r="N279" t="e">
        <f>#REF!</f>
        <v>#REF!</v>
      </c>
      <c r="O279">
        <f>_xlfn.IFNA(VLOOKUP(RIGHT(VLOOKUP(TRIM('DL 1'!G280),Data!$A:$B,2,0),1),Data!$L$23:$M$30,2,0),0)</f>
        <v>0</v>
      </c>
      <c r="P279">
        <f t="shared" si="50"/>
        <v>0</v>
      </c>
      <c r="Q279" s="7" t="b">
        <f t="shared" si="41"/>
        <v>0</v>
      </c>
      <c r="R279" s="27">
        <f>INCENTIVE!$E$8</f>
        <v>130000000</v>
      </c>
      <c r="S279">
        <f>'DL 1'!D280</f>
        <v>0</v>
      </c>
      <c r="T279" t="str">
        <f t="shared" si="42"/>
        <v>1</v>
      </c>
      <c r="V279" t="str">
        <f t="shared" si="43"/>
        <v>1</v>
      </c>
      <c r="W279">
        <f t="shared" si="44"/>
        <v>0.25</v>
      </c>
      <c r="X279" s="7">
        <f>'DL 1'!E280</f>
        <v>0</v>
      </c>
      <c r="Y279" s="69">
        <f>'DL 1'!G280</f>
        <v>0</v>
      </c>
      <c r="AC279" t="str">
        <f>IFERROR(VLOOKUP(Y279,Data!$G$65:$K$79,2,0) *X279,"")</f>
        <v/>
      </c>
      <c r="AD279" s="7">
        <f t="shared" si="45"/>
        <v>0</v>
      </c>
      <c r="AE279">
        <f>'DL 1'!F280</f>
        <v>0</v>
      </c>
      <c r="AF279" t="str">
        <f>IFERROR(VLOOKUP(Y279,Data!$G$65:$K$79,4,0),"")</f>
        <v/>
      </c>
      <c r="AG279" s="51" t="e">
        <f>#REF!</f>
        <v>#REF!</v>
      </c>
      <c r="AK279">
        <f t="shared" si="46"/>
        <v>0</v>
      </c>
      <c r="AL279">
        <f t="shared" si="47"/>
        <v>0</v>
      </c>
      <c r="AM279" s="70">
        <f t="shared" si="48"/>
        <v>0</v>
      </c>
      <c r="AN279" s="7" t="b">
        <f t="shared" si="49"/>
        <v>0</v>
      </c>
    </row>
    <row r="280" spans="1:40" x14ac:dyDescent="0.3">
      <c r="A280" s="50">
        <f>IF(D280="A",_xlfn.IFNA(INDEX(Data!$H$24:$J$28,MATCH('DL 1'!E281,Data!$G$24:$G$28,1),MATCH('DL 1'!D281,Data!$H$23:$J$23,1)),0),0)</f>
        <v>0</v>
      </c>
      <c r="B280">
        <f>IF('DL 1'!F281="Y",Q280,0)</f>
        <v>0</v>
      </c>
      <c r="C280" t="e">
        <f>_xlfn.IFNA(INDEX(Data!$H$24:$J$28,MATCH(#REF!,Data!$G$24:$G$28,1),MATCH(#REF!,Data!$H$23:$J$23,1)),0)</f>
        <v>#REF!</v>
      </c>
      <c r="D280" t="str">
        <f>RIGHT(TRIM('DL 1'!G281),1)</f>
        <v/>
      </c>
      <c r="E280" s="8">
        <f>'DL 1'!E281*'DL 1'!D281</f>
        <v>0</v>
      </c>
      <c r="F280" t="str">
        <f>_xlfn.IFNA(VLOOKUP(TRIM('DL 1'!G281),Data!$A:$C,3,0),"")</f>
        <v/>
      </c>
      <c r="G280" s="7">
        <f>'DL 1'!E281</f>
        <v>0</v>
      </c>
      <c r="H280" s="21">
        <f>_xlfn.IFNA(VLOOKUP(TRIM('DL 1'!G281),Data!$A:$D,4,0),0)</f>
        <v>0</v>
      </c>
      <c r="I280">
        <f>_xlfn.IFNA(INDEX(Data!$G$5:$K$10,MATCH('DL 1'!D281,Data!$F$5:$F$10,1),MATCH(_xlfn.SINGLE(#REF!),Data!$G$4:$K$4,1)),0)</f>
        <v>0</v>
      </c>
      <c r="J280">
        <f>_xlfn.IFNA(IF(VLOOKUP(TRIM('DL 1'!G281),Data!$A:$C,3,0)="ST1",H280*I280*G280,IF(VLOOKUP(TRIM('DL 1'!G281),Data!$A:$C,3,0)="IR0",H280*G280,MIN(H280:I280)*G280)),0)</f>
        <v>0</v>
      </c>
      <c r="K280" t="e">
        <f>_xlfn.IFNA(VLOOKUP(TRIM(#REF!),Data!$A:$D,4,0)*#REF!,0)</f>
        <v>#REF!</v>
      </c>
      <c r="L280">
        <f>IF(TRIM('DL 1'!G281)="EDCLNHT0IRNLI",20000,0)</f>
        <v>0</v>
      </c>
      <c r="M280">
        <f>IF(ISERROR(MATCH('DL 1'!A281,#REF!,0)),0,J280*2)</f>
        <v>0</v>
      </c>
      <c r="N280" t="e">
        <f>#REF!</f>
        <v>#REF!</v>
      </c>
      <c r="O280">
        <f>_xlfn.IFNA(VLOOKUP(RIGHT(VLOOKUP(TRIM('DL 1'!G281),Data!$A:$B,2,0),1),Data!$L$23:$M$30,2,0),0)</f>
        <v>0</v>
      </c>
      <c r="P280">
        <f t="shared" si="50"/>
        <v>0</v>
      </c>
      <c r="Q280" s="7" t="b">
        <f t="shared" si="41"/>
        <v>0</v>
      </c>
      <c r="R280" s="27">
        <f>INCENTIVE!$E$8</f>
        <v>130000000</v>
      </c>
      <c r="S280">
        <f>'DL 1'!D281</f>
        <v>0</v>
      </c>
      <c r="T280" t="str">
        <f t="shared" si="42"/>
        <v>1</v>
      </c>
      <c r="V280" t="str">
        <f t="shared" si="43"/>
        <v>1</v>
      </c>
      <c r="W280">
        <f t="shared" si="44"/>
        <v>0.25</v>
      </c>
      <c r="X280" s="7">
        <f>'DL 1'!E281</f>
        <v>0</v>
      </c>
      <c r="Y280" s="69">
        <f>'DL 1'!G281</f>
        <v>0</v>
      </c>
      <c r="AC280" t="str">
        <f>IFERROR(VLOOKUP(Y280,Data!$G$65:$K$79,2,0) *X280,"")</f>
        <v/>
      </c>
      <c r="AD280" s="7">
        <f t="shared" si="45"/>
        <v>0</v>
      </c>
      <c r="AE280">
        <f>'DL 1'!F281</f>
        <v>0</v>
      </c>
      <c r="AF280" t="str">
        <f>IFERROR(VLOOKUP(Y280,Data!$G$65:$K$79,4,0),"")</f>
        <v/>
      </c>
      <c r="AG280" s="51" t="e">
        <f>#REF!</f>
        <v>#REF!</v>
      </c>
      <c r="AK280">
        <f t="shared" si="46"/>
        <v>0</v>
      </c>
      <c r="AL280">
        <f t="shared" si="47"/>
        <v>0</v>
      </c>
      <c r="AM280" s="70">
        <f t="shared" si="48"/>
        <v>0</v>
      </c>
      <c r="AN280" s="7" t="b">
        <f t="shared" si="49"/>
        <v>0</v>
      </c>
    </row>
    <row r="281" spans="1:40" x14ac:dyDescent="0.3">
      <c r="A281" s="50">
        <f>IF(D281="A",_xlfn.IFNA(INDEX(Data!$H$24:$J$28,MATCH('DL 1'!E282,Data!$G$24:$G$28,1),MATCH('DL 1'!D282,Data!$H$23:$J$23,1)),0),0)</f>
        <v>0</v>
      </c>
      <c r="B281">
        <f>IF('DL 1'!F282="Y",Q281,0)</f>
        <v>0</v>
      </c>
      <c r="C281" t="e">
        <f>_xlfn.IFNA(INDEX(Data!$H$24:$J$28,MATCH(#REF!,Data!$G$24:$G$28,1),MATCH(#REF!,Data!$H$23:$J$23,1)),0)</f>
        <v>#REF!</v>
      </c>
      <c r="D281" t="str">
        <f>RIGHT(TRIM('DL 1'!G282),1)</f>
        <v/>
      </c>
      <c r="E281" s="8">
        <f>'DL 1'!E282*'DL 1'!D282</f>
        <v>0</v>
      </c>
      <c r="F281" t="str">
        <f>_xlfn.IFNA(VLOOKUP(TRIM('DL 1'!G282),Data!$A:$C,3,0),"")</f>
        <v/>
      </c>
      <c r="G281" s="7">
        <f>'DL 1'!E282</f>
        <v>0</v>
      </c>
      <c r="H281" s="21">
        <f>_xlfn.IFNA(VLOOKUP(TRIM('DL 1'!G282),Data!$A:$D,4,0),0)</f>
        <v>0</v>
      </c>
      <c r="I281">
        <f>_xlfn.IFNA(INDEX(Data!$G$5:$K$10,MATCH('DL 1'!D282,Data!$F$5:$F$10,1),MATCH(_xlfn.SINGLE(#REF!),Data!$G$4:$K$4,1)),0)</f>
        <v>0</v>
      </c>
      <c r="J281">
        <f>_xlfn.IFNA(IF(VLOOKUP(TRIM('DL 1'!G282),Data!$A:$C,3,0)="ST1",H281*I281*G281,IF(VLOOKUP(TRIM('DL 1'!G282),Data!$A:$C,3,0)="IR0",H281*G281,MIN(H281:I281)*G281)),0)</f>
        <v>0</v>
      </c>
      <c r="K281" t="e">
        <f>_xlfn.IFNA(VLOOKUP(TRIM(#REF!),Data!$A:$D,4,0)*#REF!,0)</f>
        <v>#REF!</v>
      </c>
      <c r="L281">
        <f>IF(TRIM('DL 1'!G282)="EDCLNHT0IRNLI",20000,0)</f>
        <v>0</v>
      </c>
      <c r="M281">
        <f>IF(ISERROR(MATCH('DL 1'!A282,#REF!,0)),0,J281*2)</f>
        <v>0</v>
      </c>
      <c r="N281" t="e">
        <f>#REF!</f>
        <v>#REF!</v>
      </c>
      <c r="O281">
        <f>_xlfn.IFNA(VLOOKUP(RIGHT(VLOOKUP(TRIM('DL 1'!G282),Data!$A:$B,2,0),1),Data!$L$23:$M$30,2,0),0)</f>
        <v>0</v>
      </c>
      <c r="P281">
        <f t="shared" si="50"/>
        <v>0</v>
      </c>
      <c r="Q281" s="7" t="b">
        <f t="shared" si="41"/>
        <v>0</v>
      </c>
      <c r="R281" s="27">
        <f>INCENTIVE!$E$8</f>
        <v>130000000</v>
      </c>
      <c r="S281">
        <f>'DL 1'!D282</f>
        <v>0</v>
      </c>
      <c r="T281" t="str">
        <f t="shared" si="42"/>
        <v>1</v>
      </c>
      <c r="V281" t="str">
        <f t="shared" si="43"/>
        <v>1</v>
      </c>
      <c r="W281">
        <f t="shared" si="44"/>
        <v>0.25</v>
      </c>
      <c r="X281" s="7">
        <f>'DL 1'!E282</f>
        <v>0</v>
      </c>
      <c r="Y281" s="69">
        <f>'DL 1'!G282</f>
        <v>0</v>
      </c>
      <c r="AC281" t="str">
        <f>IFERROR(VLOOKUP(Y281,Data!$G$65:$K$79,2,0) *X281,"")</f>
        <v/>
      </c>
      <c r="AD281" s="7">
        <f t="shared" si="45"/>
        <v>0</v>
      </c>
      <c r="AE281">
        <f>'DL 1'!F282</f>
        <v>0</v>
      </c>
      <c r="AF281" t="str">
        <f>IFERROR(VLOOKUP(Y281,Data!$G$65:$K$79,4,0),"")</f>
        <v/>
      </c>
      <c r="AG281" s="51" t="e">
        <f>#REF!</f>
        <v>#REF!</v>
      </c>
      <c r="AK281">
        <f t="shared" si="46"/>
        <v>0</v>
      </c>
      <c r="AL281">
        <f t="shared" si="47"/>
        <v>0</v>
      </c>
      <c r="AM281" s="70">
        <f t="shared" si="48"/>
        <v>0</v>
      </c>
      <c r="AN281" s="7" t="b">
        <f t="shared" si="49"/>
        <v>0</v>
      </c>
    </row>
    <row r="282" spans="1:40" x14ac:dyDescent="0.3">
      <c r="A282" s="50">
        <f>IF(D282="A",_xlfn.IFNA(INDEX(Data!$H$24:$J$28,MATCH('DL 1'!E283,Data!$G$24:$G$28,1),MATCH('DL 1'!D283,Data!$H$23:$J$23,1)),0),0)</f>
        <v>0</v>
      </c>
      <c r="B282">
        <f>IF('DL 1'!F283="Y",Q282,0)</f>
        <v>0</v>
      </c>
      <c r="C282" t="e">
        <f>_xlfn.IFNA(INDEX(Data!$H$24:$J$28,MATCH(#REF!,Data!$G$24:$G$28,1),MATCH(#REF!,Data!$H$23:$J$23,1)),0)</f>
        <v>#REF!</v>
      </c>
      <c r="D282" t="str">
        <f>RIGHT(TRIM('DL 1'!G283),1)</f>
        <v/>
      </c>
      <c r="E282" s="8">
        <f>'DL 1'!E283*'DL 1'!D283</f>
        <v>0</v>
      </c>
      <c r="F282" t="str">
        <f>_xlfn.IFNA(VLOOKUP(TRIM('DL 1'!G283),Data!$A:$C,3,0),"")</f>
        <v/>
      </c>
      <c r="G282" s="7">
        <f>'DL 1'!E283</f>
        <v>0</v>
      </c>
      <c r="H282" s="21">
        <f>_xlfn.IFNA(VLOOKUP(TRIM('DL 1'!G283),Data!$A:$D,4,0),0)</f>
        <v>0</v>
      </c>
      <c r="I282">
        <f>_xlfn.IFNA(INDEX(Data!$G$5:$K$10,MATCH('DL 1'!D283,Data!$F$5:$F$10,1),MATCH(_xlfn.SINGLE(#REF!),Data!$G$4:$K$4,1)),0)</f>
        <v>0</v>
      </c>
      <c r="J282">
        <f>_xlfn.IFNA(IF(VLOOKUP(TRIM('DL 1'!G283),Data!$A:$C,3,0)="ST1",H282*I282*G282,IF(VLOOKUP(TRIM('DL 1'!G283),Data!$A:$C,3,0)="IR0",H282*G282,MIN(H282:I282)*G282)),0)</f>
        <v>0</v>
      </c>
      <c r="K282" t="e">
        <f>_xlfn.IFNA(VLOOKUP(TRIM(#REF!),Data!$A:$D,4,0)*#REF!,0)</f>
        <v>#REF!</v>
      </c>
      <c r="L282">
        <f>IF(TRIM('DL 1'!G283)="EDCLNHT0IRNLI",20000,0)</f>
        <v>0</v>
      </c>
      <c r="M282">
        <f>IF(ISERROR(MATCH('DL 1'!A283,#REF!,0)),0,J282*2)</f>
        <v>0</v>
      </c>
      <c r="N282" t="e">
        <f>#REF!</f>
        <v>#REF!</v>
      </c>
      <c r="O282">
        <f>_xlfn.IFNA(VLOOKUP(RIGHT(VLOOKUP(TRIM('DL 1'!G283),Data!$A:$B,2,0),1),Data!$L$23:$M$30,2,0),0)</f>
        <v>0</v>
      </c>
      <c r="P282">
        <f t="shared" si="50"/>
        <v>0</v>
      </c>
      <c r="Q282" s="7" t="b">
        <f t="shared" si="41"/>
        <v>0</v>
      </c>
      <c r="R282" s="27">
        <f>INCENTIVE!$E$8</f>
        <v>130000000</v>
      </c>
      <c r="S282">
        <f>'DL 1'!D283</f>
        <v>0</v>
      </c>
      <c r="T282" t="str">
        <f t="shared" si="42"/>
        <v>1</v>
      </c>
      <c r="V282" t="str">
        <f t="shared" si="43"/>
        <v>1</v>
      </c>
      <c r="W282">
        <f t="shared" si="44"/>
        <v>0.25</v>
      </c>
      <c r="X282" s="7">
        <f>'DL 1'!E283</f>
        <v>0</v>
      </c>
      <c r="Y282" s="69">
        <f>'DL 1'!G283</f>
        <v>0</v>
      </c>
      <c r="AC282" t="str">
        <f>IFERROR(VLOOKUP(Y282,Data!$G$65:$K$79,2,0) *X282,"")</f>
        <v/>
      </c>
      <c r="AD282" s="7">
        <f t="shared" si="45"/>
        <v>0</v>
      </c>
      <c r="AE282">
        <f>'DL 1'!F283</f>
        <v>0</v>
      </c>
      <c r="AF282" t="str">
        <f>IFERROR(VLOOKUP(Y282,Data!$G$65:$K$79,4,0),"")</f>
        <v/>
      </c>
      <c r="AG282" s="51" t="e">
        <f>#REF!</f>
        <v>#REF!</v>
      </c>
      <c r="AK282">
        <f t="shared" si="46"/>
        <v>0</v>
      </c>
      <c r="AL282">
        <f t="shared" si="47"/>
        <v>0</v>
      </c>
      <c r="AM282" s="70">
        <f t="shared" si="48"/>
        <v>0</v>
      </c>
      <c r="AN282" s="7" t="b">
        <f t="shared" si="49"/>
        <v>0</v>
      </c>
    </row>
    <row r="283" spans="1:40" x14ac:dyDescent="0.3">
      <c r="A283" s="50">
        <f>IF(D283="A",_xlfn.IFNA(INDEX(Data!$H$24:$J$28,MATCH('DL 1'!E284,Data!$G$24:$G$28,1),MATCH('DL 1'!D284,Data!$H$23:$J$23,1)),0),0)</f>
        <v>0</v>
      </c>
      <c r="B283">
        <f>IF('DL 1'!F284="Y",Q283,0)</f>
        <v>0</v>
      </c>
      <c r="C283" t="e">
        <f>_xlfn.IFNA(INDEX(Data!$H$24:$J$28,MATCH(#REF!,Data!$G$24:$G$28,1),MATCH(#REF!,Data!$H$23:$J$23,1)),0)</f>
        <v>#REF!</v>
      </c>
      <c r="D283" t="str">
        <f>RIGHT(TRIM('DL 1'!G284),1)</f>
        <v/>
      </c>
      <c r="E283" s="8">
        <f>'DL 1'!E284*'DL 1'!D284</f>
        <v>0</v>
      </c>
      <c r="F283" t="str">
        <f>_xlfn.IFNA(VLOOKUP(TRIM('DL 1'!G284),Data!$A:$C,3,0),"")</f>
        <v/>
      </c>
      <c r="G283" s="7">
        <f>'DL 1'!E284</f>
        <v>0</v>
      </c>
      <c r="H283" s="21">
        <f>_xlfn.IFNA(VLOOKUP(TRIM('DL 1'!G284),Data!$A:$D,4,0),0)</f>
        <v>0</v>
      </c>
      <c r="I283">
        <f>_xlfn.IFNA(INDEX(Data!$G$5:$K$10,MATCH('DL 1'!D284,Data!$F$5:$F$10,1),MATCH(_xlfn.SINGLE(#REF!),Data!$G$4:$K$4,1)),0)</f>
        <v>0</v>
      </c>
      <c r="J283">
        <f>_xlfn.IFNA(IF(VLOOKUP(TRIM('DL 1'!G284),Data!$A:$C,3,0)="ST1",H283*I283*G283,IF(VLOOKUP(TRIM('DL 1'!G284),Data!$A:$C,3,0)="IR0",H283*G283,MIN(H283:I283)*G283)),0)</f>
        <v>0</v>
      </c>
      <c r="K283" t="e">
        <f>_xlfn.IFNA(VLOOKUP(TRIM(#REF!),Data!$A:$D,4,0)*#REF!,0)</f>
        <v>#REF!</v>
      </c>
      <c r="L283">
        <f>IF(TRIM('DL 1'!G284)="EDCLNHT0IRNLI",20000,0)</f>
        <v>0</v>
      </c>
      <c r="M283">
        <f>IF(ISERROR(MATCH('DL 1'!A284,#REF!,0)),0,J283*2)</f>
        <v>0</v>
      </c>
      <c r="N283" t="e">
        <f>#REF!</f>
        <v>#REF!</v>
      </c>
      <c r="O283">
        <f>_xlfn.IFNA(VLOOKUP(RIGHT(VLOOKUP(TRIM('DL 1'!G284),Data!$A:$B,2,0),1),Data!$L$23:$M$30,2,0),0)</f>
        <v>0</v>
      </c>
      <c r="P283">
        <f t="shared" si="50"/>
        <v>0</v>
      </c>
      <c r="Q283" s="7" t="b">
        <f t="shared" si="41"/>
        <v>0</v>
      </c>
      <c r="R283" s="27">
        <f>INCENTIVE!$E$8</f>
        <v>130000000</v>
      </c>
      <c r="S283">
        <f>'DL 1'!D284</f>
        <v>0</v>
      </c>
      <c r="T283" t="str">
        <f t="shared" si="42"/>
        <v>1</v>
      </c>
      <c r="V283" t="str">
        <f t="shared" si="43"/>
        <v>1</v>
      </c>
      <c r="W283">
        <f t="shared" si="44"/>
        <v>0.25</v>
      </c>
      <c r="X283" s="7">
        <f>'DL 1'!E284</f>
        <v>0</v>
      </c>
      <c r="Y283" s="69">
        <f>'DL 1'!G284</f>
        <v>0</v>
      </c>
      <c r="AC283" t="str">
        <f>IFERROR(VLOOKUP(Y283,Data!$G$65:$K$79,2,0) *X283,"")</f>
        <v/>
      </c>
      <c r="AD283" s="7">
        <f t="shared" si="45"/>
        <v>0</v>
      </c>
      <c r="AE283">
        <f>'DL 1'!F284</f>
        <v>0</v>
      </c>
      <c r="AF283" t="str">
        <f>IFERROR(VLOOKUP(Y283,Data!$G$65:$K$79,4,0),"")</f>
        <v/>
      </c>
      <c r="AG283" s="51" t="e">
        <f>#REF!</f>
        <v>#REF!</v>
      </c>
      <c r="AK283">
        <f t="shared" si="46"/>
        <v>0</v>
      </c>
      <c r="AL283">
        <f t="shared" si="47"/>
        <v>0</v>
      </c>
      <c r="AM283" s="70">
        <f t="shared" si="48"/>
        <v>0</v>
      </c>
      <c r="AN283" s="7" t="b">
        <f t="shared" si="49"/>
        <v>0</v>
      </c>
    </row>
    <row r="284" spans="1:40" x14ac:dyDescent="0.3">
      <c r="A284" s="50">
        <f>IF(D284="A",_xlfn.IFNA(INDEX(Data!$H$24:$J$28,MATCH('DL 1'!E285,Data!$G$24:$G$28,1),MATCH('DL 1'!D285,Data!$H$23:$J$23,1)),0),0)</f>
        <v>0</v>
      </c>
      <c r="B284">
        <f>IF('DL 1'!F285="Y",Q284,0)</f>
        <v>0</v>
      </c>
      <c r="C284" t="e">
        <f>_xlfn.IFNA(INDEX(Data!$H$24:$J$28,MATCH(#REF!,Data!$G$24:$G$28,1),MATCH(#REF!,Data!$H$23:$J$23,1)),0)</f>
        <v>#REF!</v>
      </c>
      <c r="D284" t="str">
        <f>RIGHT(TRIM('DL 1'!G285),1)</f>
        <v/>
      </c>
      <c r="E284" s="8">
        <f>'DL 1'!E285*'DL 1'!D285</f>
        <v>0</v>
      </c>
      <c r="F284" t="str">
        <f>_xlfn.IFNA(VLOOKUP(TRIM('DL 1'!G285),Data!$A:$C,3,0),"")</f>
        <v/>
      </c>
      <c r="G284" s="7">
        <f>'DL 1'!E285</f>
        <v>0</v>
      </c>
      <c r="H284" s="21">
        <f>_xlfn.IFNA(VLOOKUP(TRIM('DL 1'!G285),Data!$A:$D,4,0),0)</f>
        <v>0</v>
      </c>
      <c r="I284">
        <f>_xlfn.IFNA(INDEX(Data!$G$5:$K$10,MATCH('DL 1'!D285,Data!$F$5:$F$10,1),MATCH(_xlfn.SINGLE(#REF!),Data!$G$4:$K$4,1)),0)</f>
        <v>0</v>
      </c>
      <c r="J284">
        <f>_xlfn.IFNA(IF(VLOOKUP(TRIM('DL 1'!G285),Data!$A:$C,3,0)="ST1",H284*I284*G284,IF(VLOOKUP(TRIM('DL 1'!G285),Data!$A:$C,3,0)="IR0",H284*G284,MIN(H284:I284)*G284)),0)</f>
        <v>0</v>
      </c>
      <c r="K284" t="e">
        <f>_xlfn.IFNA(VLOOKUP(TRIM(#REF!),Data!$A:$D,4,0)*#REF!,0)</f>
        <v>#REF!</v>
      </c>
      <c r="L284">
        <f>IF(TRIM('DL 1'!G285)="EDCLNHT0IRNLI",20000,0)</f>
        <v>0</v>
      </c>
      <c r="M284">
        <f>IF(ISERROR(MATCH('DL 1'!A285,#REF!,0)),0,J284*2)</f>
        <v>0</v>
      </c>
      <c r="N284" t="e">
        <f>#REF!</f>
        <v>#REF!</v>
      </c>
      <c r="O284">
        <f>_xlfn.IFNA(VLOOKUP(RIGHT(VLOOKUP(TRIM('DL 1'!G285),Data!$A:$B,2,0),1),Data!$L$23:$M$30,2,0),0)</f>
        <v>0</v>
      </c>
      <c r="P284">
        <f t="shared" si="50"/>
        <v>0</v>
      </c>
      <c r="Q284" s="7" t="b">
        <f t="shared" si="41"/>
        <v>0</v>
      </c>
      <c r="R284" s="27">
        <f>INCENTIVE!$E$8</f>
        <v>130000000</v>
      </c>
      <c r="S284">
        <f>'DL 1'!D285</f>
        <v>0</v>
      </c>
      <c r="T284" t="str">
        <f t="shared" si="42"/>
        <v>1</v>
      </c>
      <c r="V284" t="str">
        <f t="shared" si="43"/>
        <v>1</v>
      </c>
      <c r="W284">
        <f t="shared" si="44"/>
        <v>0.25</v>
      </c>
      <c r="X284" s="7">
        <f>'DL 1'!E285</f>
        <v>0</v>
      </c>
      <c r="Y284" s="69">
        <f>'DL 1'!G285</f>
        <v>0</v>
      </c>
      <c r="AC284" t="str">
        <f>IFERROR(VLOOKUP(Y284,Data!$G$65:$K$79,2,0) *X284,"")</f>
        <v/>
      </c>
      <c r="AD284" s="7">
        <f t="shared" si="45"/>
        <v>0</v>
      </c>
      <c r="AE284">
        <f>'DL 1'!F285</f>
        <v>0</v>
      </c>
      <c r="AF284" t="str">
        <f>IFERROR(VLOOKUP(Y284,Data!$G$65:$K$79,4,0),"")</f>
        <v/>
      </c>
      <c r="AG284" s="51" t="e">
        <f>#REF!</f>
        <v>#REF!</v>
      </c>
      <c r="AK284">
        <f t="shared" si="46"/>
        <v>0</v>
      </c>
      <c r="AL284">
        <f t="shared" si="47"/>
        <v>0</v>
      </c>
      <c r="AM284" s="70">
        <f t="shared" si="48"/>
        <v>0</v>
      </c>
      <c r="AN284" s="7" t="b">
        <f t="shared" si="49"/>
        <v>0</v>
      </c>
    </row>
    <row r="285" spans="1:40" x14ac:dyDescent="0.3">
      <c r="A285" s="50">
        <f>IF(D285="A",_xlfn.IFNA(INDEX(Data!$H$24:$J$28,MATCH('DL 1'!E286,Data!$G$24:$G$28,1),MATCH('DL 1'!D286,Data!$H$23:$J$23,1)),0),0)</f>
        <v>0</v>
      </c>
      <c r="B285">
        <f>IF('DL 1'!F286="Y",Q285,0)</f>
        <v>0</v>
      </c>
      <c r="C285" t="e">
        <f>_xlfn.IFNA(INDEX(Data!$H$24:$J$28,MATCH(#REF!,Data!$G$24:$G$28,1),MATCH(#REF!,Data!$H$23:$J$23,1)),0)</f>
        <v>#REF!</v>
      </c>
      <c r="D285" t="str">
        <f>RIGHT(TRIM('DL 1'!G286),1)</f>
        <v/>
      </c>
      <c r="E285" s="8">
        <f>'DL 1'!E286*'DL 1'!D286</f>
        <v>0</v>
      </c>
      <c r="F285" t="str">
        <f>_xlfn.IFNA(VLOOKUP(TRIM('DL 1'!G286),Data!$A:$C,3,0),"")</f>
        <v/>
      </c>
      <c r="G285" s="7">
        <f>'DL 1'!E286</f>
        <v>0</v>
      </c>
      <c r="H285" s="21">
        <f>_xlfn.IFNA(VLOOKUP(TRIM('DL 1'!G286),Data!$A:$D,4,0),0)</f>
        <v>0</v>
      </c>
      <c r="I285">
        <f>_xlfn.IFNA(INDEX(Data!$G$5:$K$10,MATCH('DL 1'!D286,Data!$F$5:$F$10,1),MATCH(_xlfn.SINGLE(#REF!),Data!$G$4:$K$4,1)),0)</f>
        <v>0</v>
      </c>
      <c r="J285">
        <f>_xlfn.IFNA(IF(VLOOKUP(TRIM('DL 1'!G286),Data!$A:$C,3,0)="ST1",H285*I285*G285,IF(VLOOKUP(TRIM('DL 1'!G286),Data!$A:$C,3,0)="IR0",H285*G285,MIN(H285:I285)*G285)),0)</f>
        <v>0</v>
      </c>
      <c r="K285" t="e">
        <f>_xlfn.IFNA(VLOOKUP(TRIM(#REF!),Data!$A:$D,4,0)*#REF!,0)</f>
        <v>#REF!</v>
      </c>
      <c r="L285">
        <f>IF(TRIM('DL 1'!G286)="EDCLNHT0IRNLI",20000,0)</f>
        <v>0</v>
      </c>
      <c r="M285">
        <f>IF(ISERROR(MATCH('DL 1'!A286,#REF!,0)),0,J285*2)</f>
        <v>0</v>
      </c>
      <c r="N285" t="e">
        <f>#REF!</f>
        <v>#REF!</v>
      </c>
      <c r="O285">
        <f>_xlfn.IFNA(VLOOKUP(RIGHT(VLOOKUP(TRIM('DL 1'!G286),Data!$A:$B,2,0),1),Data!$L$23:$M$30,2,0),0)</f>
        <v>0</v>
      </c>
      <c r="P285">
        <f t="shared" si="50"/>
        <v>0</v>
      </c>
      <c r="Q285" s="7" t="b">
        <f t="shared" si="41"/>
        <v>0</v>
      </c>
      <c r="R285" s="27">
        <f>INCENTIVE!$E$8</f>
        <v>130000000</v>
      </c>
      <c r="S285">
        <f>'DL 1'!D286</f>
        <v>0</v>
      </c>
      <c r="T285" t="str">
        <f t="shared" si="42"/>
        <v>1</v>
      </c>
      <c r="V285" t="str">
        <f t="shared" si="43"/>
        <v>1</v>
      </c>
      <c r="W285">
        <f t="shared" si="44"/>
        <v>0.25</v>
      </c>
      <c r="X285" s="7">
        <f>'DL 1'!E286</f>
        <v>0</v>
      </c>
      <c r="Y285" s="69">
        <f>'DL 1'!G286</f>
        <v>0</v>
      </c>
      <c r="AC285" t="str">
        <f>IFERROR(VLOOKUP(Y285,Data!$G$65:$K$79,2,0) *X285,"")</f>
        <v/>
      </c>
      <c r="AD285" s="7">
        <f t="shared" si="45"/>
        <v>0</v>
      </c>
      <c r="AE285">
        <f>'DL 1'!F286</f>
        <v>0</v>
      </c>
      <c r="AF285" t="str">
        <f>IFERROR(VLOOKUP(Y285,Data!$G$65:$K$79,4,0),"")</f>
        <v/>
      </c>
      <c r="AG285" s="51" t="e">
        <f>#REF!</f>
        <v>#REF!</v>
      </c>
      <c r="AK285">
        <f t="shared" si="46"/>
        <v>0</v>
      </c>
      <c r="AL285">
        <f t="shared" si="47"/>
        <v>0</v>
      </c>
      <c r="AM285" s="70">
        <f t="shared" si="48"/>
        <v>0</v>
      </c>
      <c r="AN285" s="7" t="b">
        <f t="shared" si="49"/>
        <v>0</v>
      </c>
    </row>
    <row r="286" spans="1:40" x14ac:dyDescent="0.3">
      <c r="A286" s="50">
        <f>IF(D286="A",_xlfn.IFNA(INDEX(Data!$H$24:$J$28,MATCH('DL 1'!E287,Data!$G$24:$G$28,1),MATCH('DL 1'!D287,Data!$H$23:$J$23,1)),0),0)</f>
        <v>0</v>
      </c>
      <c r="B286">
        <f>IF('DL 1'!F287="Y",Q286,0)</f>
        <v>0</v>
      </c>
      <c r="C286" t="e">
        <f>_xlfn.IFNA(INDEX(Data!$H$24:$J$28,MATCH(#REF!,Data!$G$24:$G$28,1),MATCH(#REF!,Data!$H$23:$J$23,1)),0)</f>
        <v>#REF!</v>
      </c>
      <c r="D286" t="str">
        <f>RIGHT(TRIM('DL 1'!G287),1)</f>
        <v/>
      </c>
      <c r="E286" s="8">
        <f>'DL 1'!E287*'DL 1'!D287</f>
        <v>0</v>
      </c>
      <c r="F286" t="str">
        <f>_xlfn.IFNA(VLOOKUP(TRIM('DL 1'!G287),Data!$A:$C,3,0),"")</f>
        <v/>
      </c>
      <c r="G286" s="7">
        <f>'DL 1'!E287</f>
        <v>0</v>
      </c>
      <c r="H286" s="21">
        <f>_xlfn.IFNA(VLOOKUP(TRIM('DL 1'!G287),Data!$A:$D,4,0),0)</f>
        <v>0</v>
      </c>
      <c r="I286">
        <f>_xlfn.IFNA(INDEX(Data!$G$5:$K$10,MATCH('DL 1'!D287,Data!$F$5:$F$10,1),MATCH(_xlfn.SINGLE(#REF!),Data!$G$4:$K$4,1)),0)</f>
        <v>0</v>
      </c>
      <c r="J286">
        <f>_xlfn.IFNA(IF(VLOOKUP(TRIM('DL 1'!G287),Data!$A:$C,3,0)="ST1",H286*I286*G286,IF(VLOOKUP(TRIM('DL 1'!G287),Data!$A:$C,3,0)="IR0",H286*G286,MIN(H286:I286)*G286)),0)</f>
        <v>0</v>
      </c>
      <c r="K286" t="e">
        <f>_xlfn.IFNA(VLOOKUP(TRIM(#REF!),Data!$A:$D,4,0)*#REF!,0)</f>
        <v>#REF!</v>
      </c>
      <c r="L286">
        <f>IF(TRIM('DL 1'!G287)="EDCLNHT0IRNLI",20000,0)</f>
        <v>0</v>
      </c>
      <c r="M286">
        <f>IF(ISERROR(MATCH('DL 1'!A287,#REF!,0)),0,J286*2)</f>
        <v>0</v>
      </c>
      <c r="N286" t="e">
        <f>#REF!</f>
        <v>#REF!</v>
      </c>
      <c r="O286">
        <f>_xlfn.IFNA(VLOOKUP(RIGHT(VLOOKUP(TRIM('DL 1'!G287),Data!$A:$B,2,0),1),Data!$L$23:$M$30,2,0),0)</f>
        <v>0</v>
      </c>
      <c r="P286">
        <f t="shared" si="50"/>
        <v>0</v>
      </c>
      <c r="Q286" s="7" t="b">
        <f t="shared" si="41"/>
        <v>0</v>
      </c>
      <c r="R286" s="27">
        <f>INCENTIVE!$E$8</f>
        <v>130000000</v>
      </c>
      <c r="S286">
        <f>'DL 1'!D287</f>
        <v>0</v>
      </c>
      <c r="T286" t="str">
        <f t="shared" si="42"/>
        <v>1</v>
      </c>
      <c r="V286" t="str">
        <f t="shared" si="43"/>
        <v>1</v>
      </c>
      <c r="W286">
        <f t="shared" si="44"/>
        <v>0.25</v>
      </c>
      <c r="X286" s="7">
        <f>'DL 1'!E287</f>
        <v>0</v>
      </c>
      <c r="Y286" s="69">
        <f>'DL 1'!G287</f>
        <v>0</v>
      </c>
      <c r="AC286" t="str">
        <f>IFERROR(VLOOKUP(Y286,Data!$G$65:$K$79,2,0) *X286,"")</f>
        <v/>
      </c>
      <c r="AD286" s="7">
        <f t="shared" si="45"/>
        <v>0</v>
      </c>
      <c r="AE286">
        <f>'DL 1'!F287</f>
        <v>0</v>
      </c>
      <c r="AF286" t="str">
        <f>IFERROR(VLOOKUP(Y286,Data!$G$65:$K$79,4,0),"")</f>
        <v/>
      </c>
      <c r="AG286" s="51" t="e">
        <f>#REF!</f>
        <v>#REF!</v>
      </c>
      <c r="AK286">
        <f t="shared" si="46"/>
        <v>0</v>
      </c>
      <c r="AL286">
        <f t="shared" si="47"/>
        <v>0</v>
      </c>
      <c r="AM286" s="70">
        <f t="shared" si="48"/>
        <v>0</v>
      </c>
      <c r="AN286" s="7" t="b">
        <f t="shared" si="49"/>
        <v>0</v>
      </c>
    </row>
    <row r="287" spans="1:40" x14ac:dyDescent="0.3">
      <c r="A287" s="50">
        <f>IF(D287="A",_xlfn.IFNA(INDEX(Data!$H$24:$J$28,MATCH('DL 1'!E288,Data!$G$24:$G$28,1),MATCH('DL 1'!D288,Data!$H$23:$J$23,1)),0),0)</f>
        <v>0</v>
      </c>
      <c r="B287">
        <f>IF('DL 1'!F288="Y",Q287,0)</f>
        <v>0</v>
      </c>
      <c r="C287" t="e">
        <f>_xlfn.IFNA(INDEX(Data!$H$24:$J$28,MATCH(#REF!,Data!$G$24:$G$28,1),MATCH(#REF!,Data!$H$23:$J$23,1)),0)</f>
        <v>#REF!</v>
      </c>
      <c r="D287" t="str">
        <f>RIGHT(TRIM('DL 1'!G288),1)</f>
        <v/>
      </c>
      <c r="E287" s="8">
        <f>'DL 1'!E288*'DL 1'!D288</f>
        <v>0</v>
      </c>
      <c r="F287" t="str">
        <f>_xlfn.IFNA(VLOOKUP(TRIM('DL 1'!G288),Data!$A:$C,3,0),"")</f>
        <v/>
      </c>
      <c r="G287" s="7">
        <f>'DL 1'!E288</f>
        <v>0</v>
      </c>
      <c r="H287" s="21">
        <f>_xlfn.IFNA(VLOOKUP(TRIM('DL 1'!G288),Data!$A:$D,4,0),0)</f>
        <v>0</v>
      </c>
      <c r="I287">
        <f>_xlfn.IFNA(INDEX(Data!$G$5:$K$10,MATCH('DL 1'!D288,Data!$F$5:$F$10,1),MATCH(_xlfn.SINGLE(#REF!),Data!$G$4:$K$4,1)),0)</f>
        <v>0</v>
      </c>
      <c r="J287">
        <f>_xlfn.IFNA(IF(VLOOKUP(TRIM('DL 1'!G288),Data!$A:$C,3,0)="ST1",H287*I287*G287,IF(VLOOKUP(TRIM('DL 1'!G288),Data!$A:$C,3,0)="IR0",H287*G287,MIN(H287:I287)*G287)),0)</f>
        <v>0</v>
      </c>
      <c r="K287" t="e">
        <f>_xlfn.IFNA(VLOOKUP(TRIM(#REF!),Data!$A:$D,4,0)*#REF!,0)</f>
        <v>#REF!</v>
      </c>
      <c r="L287">
        <f>IF(TRIM('DL 1'!G288)="EDCLNHT0IRNLI",20000,0)</f>
        <v>0</v>
      </c>
      <c r="M287">
        <f>IF(ISERROR(MATCH('DL 1'!A288,#REF!,0)),0,J287*2)</f>
        <v>0</v>
      </c>
      <c r="N287" t="e">
        <f>#REF!</f>
        <v>#REF!</v>
      </c>
      <c r="O287">
        <f>_xlfn.IFNA(VLOOKUP(RIGHT(VLOOKUP(TRIM('DL 1'!G288),Data!$A:$B,2,0),1),Data!$L$23:$M$30,2,0),0)</f>
        <v>0</v>
      </c>
      <c r="P287">
        <f t="shared" si="50"/>
        <v>0</v>
      </c>
      <c r="Q287" s="7" t="b">
        <f t="shared" si="41"/>
        <v>0</v>
      </c>
      <c r="R287" s="27">
        <f>INCENTIVE!$E$8</f>
        <v>130000000</v>
      </c>
      <c r="S287">
        <f>'DL 1'!D288</f>
        <v>0</v>
      </c>
      <c r="T287" t="str">
        <f t="shared" si="42"/>
        <v>1</v>
      </c>
      <c r="V287" t="str">
        <f t="shared" si="43"/>
        <v>1</v>
      </c>
      <c r="W287">
        <f t="shared" si="44"/>
        <v>0.25</v>
      </c>
      <c r="X287" s="7">
        <f>'DL 1'!E288</f>
        <v>0</v>
      </c>
      <c r="Y287" s="69">
        <f>'DL 1'!G288</f>
        <v>0</v>
      </c>
      <c r="AC287" t="str">
        <f>IFERROR(VLOOKUP(Y287,Data!$G$65:$K$79,2,0) *X287,"")</f>
        <v/>
      </c>
      <c r="AD287" s="7">
        <f t="shared" si="45"/>
        <v>0</v>
      </c>
      <c r="AE287">
        <f>'DL 1'!F288</f>
        <v>0</v>
      </c>
      <c r="AF287" t="str">
        <f>IFERROR(VLOOKUP(Y287,Data!$G$65:$K$79,4,0),"")</f>
        <v/>
      </c>
      <c r="AG287" s="51" t="e">
        <f>#REF!</f>
        <v>#REF!</v>
      </c>
      <c r="AK287">
        <f t="shared" si="46"/>
        <v>0</v>
      </c>
      <c r="AL287">
        <f t="shared" si="47"/>
        <v>0</v>
      </c>
      <c r="AM287" s="70">
        <f t="shared" si="48"/>
        <v>0</v>
      </c>
      <c r="AN287" s="7" t="b">
        <f t="shared" si="49"/>
        <v>0</v>
      </c>
    </row>
    <row r="288" spans="1:40" x14ac:dyDescent="0.3">
      <c r="A288" s="50">
        <f>IF(D288="A",_xlfn.IFNA(INDEX(Data!$H$24:$J$28,MATCH('DL 1'!E289,Data!$G$24:$G$28,1),MATCH('DL 1'!D289,Data!$H$23:$J$23,1)),0),0)</f>
        <v>0</v>
      </c>
      <c r="B288">
        <f>IF('DL 1'!F289="Y",Q288,0)</f>
        <v>0</v>
      </c>
      <c r="C288" t="e">
        <f>_xlfn.IFNA(INDEX(Data!$H$24:$J$28,MATCH(#REF!,Data!$G$24:$G$28,1),MATCH(#REF!,Data!$H$23:$J$23,1)),0)</f>
        <v>#REF!</v>
      </c>
      <c r="D288" t="str">
        <f>RIGHT(TRIM('DL 1'!G289),1)</f>
        <v/>
      </c>
      <c r="E288" s="8">
        <f>'DL 1'!E289*'DL 1'!D289</f>
        <v>0</v>
      </c>
      <c r="F288" t="str">
        <f>_xlfn.IFNA(VLOOKUP(TRIM('DL 1'!G289),Data!$A:$C,3,0),"")</f>
        <v/>
      </c>
      <c r="G288" s="7">
        <f>'DL 1'!E289</f>
        <v>0</v>
      </c>
      <c r="H288" s="21">
        <f>_xlfn.IFNA(VLOOKUP(TRIM('DL 1'!G289),Data!$A:$D,4,0),0)</f>
        <v>0</v>
      </c>
      <c r="I288">
        <f>_xlfn.IFNA(INDEX(Data!$G$5:$K$10,MATCH('DL 1'!D289,Data!$F$5:$F$10,1),MATCH(_xlfn.SINGLE(#REF!),Data!$G$4:$K$4,1)),0)</f>
        <v>0</v>
      </c>
      <c r="J288">
        <f>_xlfn.IFNA(IF(VLOOKUP(TRIM('DL 1'!G289),Data!$A:$C,3,0)="ST1",H288*I288*G288,IF(VLOOKUP(TRIM('DL 1'!G289),Data!$A:$C,3,0)="IR0",H288*G288,MIN(H288:I288)*G288)),0)</f>
        <v>0</v>
      </c>
      <c r="K288" t="e">
        <f>_xlfn.IFNA(VLOOKUP(TRIM(#REF!),Data!$A:$D,4,0)*#REF!,0)</f>
        <v>#REF!</v>
      </c>
      <c r="L288">
        <f>IF(TRIM('DL 1'!G289)="EDCLNHT0IRNLI",20000,0)</f>
        <v>0</v>
      </c>
      <c r="M288">
        <f>IF(ISERROR(MATCH('DL 1'!A289,#REF!,0)),0,J288*2)</f>
        <v>0</v>
      </c>
      <c r="N288" t="e">
        <f>#REF!</f>
        <v>#REF!</v>
      </c>
      <c r="O288">
        <f>_xlfn.IFNA(VLOOKUP(RIGHT(VLOOKUP(TRIM('DL 1'!G289),Data!$A:$B,2,0),1),Data!$L$23:$M$30,2,0),0)</f>
        <v>0</v>
      </c>
      <c r="P288">
        <f t="shared" si="50"/>
        <v>0</v>
      </c>
      <c r="Q288" s="7" t="b">
        <f t="shared" si="41"/>
        <v>0</v>
      </c>
      <c r="R288" s="27">
        <f>INCENTIVE!$E$8</f>
        <v>130000000</v>
      </c>
      <c r="S288">
        <f>'DL 1'!D289</f>
        <v>0</v>
      </c>
      <c r="T288" t="str">
        <f t="shared" si="42"/>
        <v>1</v>
      </c>
      <c r="V288" t="str">
        <f t="shared" si="43"/>
        <v>1</v>
      </c>
      <c r="W288">
        <f t="shared" si="44"/>
        <v>0.25</v>
      </c>
      <c r="X288" s="7">
        <f>'DL 1'!E289</f>
        <v>0</v>
      </c>
      <c r="Y288" s="69">
        <f>'DL 1'!G289</f>
        <v>0</v>
      </c>
      <c r="AC288" t="str">
        <f>IFERROR(VLOOKUP(Y288,Data!$G$65:$K$79,2,0) *X288,"")</f>
        <v/>
      </c>
      <c r="AD288" s="7">
        <f t="shared" si="45"/>
        <v>0</v>
      </c>
      <c r="AE288">
        <f>'DL 1'!F289</f>
        <v>0</v>
      </c>
      <c r="AF288" t="str">
        <f>IFERROR(VLOOKUP(Y288,Data!$G$65:$K$79,4,0),"")</f>
        <v/>
      </c>
      <c r="AG288" s="51" t="e">
        <f>#REF!</f>
        <v>#REF!</v>
      </c>
      <c r="AK288">
        <f t="shared" si="46"/>
        <v>0</v>
      </c>
      <c r="AL288">
        <f t="shared" si="47"/>
        <v>0</v>
      </c>
      <c r="AM288" s="70">
        <f t="shared" si="48"/>
        <v>0</v>
      </c>
      <c r="AN288" s="7" t="b">
        <f t="shared" si="49"/>
        <v>0</v>
      </c>
    </row>
    <row r="289" spans="1:40" x14ac:dyDescent="0.3">
      <c r="A289" s="50">
        <f>IF(D289="A",_xlfn.IFNA(INDEX(Data!$H$24:$J$28,MATCH('DL 1'!E290,Data!$G$24:$G$28,1),MATCH('DL 1'!D290,Data!$H$23:$J$23,1)),0),0)</f>
        <v>0</v>
      </c>
      <c r="B289">
        <f>IF('DL 1'!F290="Y",Q289,0)</f>
        <v>0</v>
      </c>
      <c r="C289" t="e">
        <f>_xlfn.IFNA(INDEX(Data!$H$24:$J$28,MATCH(#REF!,Data!$G$24:$G$28,1),MATCH(#REF!,Data!$H$23:$J$23,1)),0)</f>
        <v>#REF!</v>
      </c>
      <c r="D289" t="str">
        <f>RIGHT(TRIM('DL 1'!G290),1)</f>
        <v/>
      </c>
      <c r="E289" s="8">
        <f>'DL 1'!E290*'DL 1'!D290</f>
        <v>0</v>
      </c>
      <c r="F289" t="str">
        <f>_xlfn.IFNA(VLOOKUP(TRIM('DL 1'!G290),Data!$A:$C,3,0),"")</f>
        <v/>
      </c>
      <c r="G289" s="7">
        <f>'DL 1'!E290</f>
        <v>0</v>
      </c>
      <c r="H289" s="21">
        <f>_xlfn.IFNA(VLOOKUP(TRIM('DL 1'!G290),Data!$A:$D,4,0),0)</f>
        <v>0</v>
      </c>
      <c r="I289">
        <f>_xlfn.IFNA(INDEX(Data!$G$5:$K$10,MATCH('DL 1'!D290,Data!$F$5:$F$10,1),MATCH(_xlfn.SINGLE(#REF!),Data!$G$4:$K$4,1)),0)</f>
        <v>0</v>
      </c>
      <c r="J289">
        <f>_xlfn.IFNA(IF(VLOOKUP(TRIM('DL 1'!G290),Data!$A:$C,3,0)="ST1",H289*I289*G289,IF(VLOOKUP(TRIM('DL 1'!G290),Data!$A:$C,3,0)="IR0",H289*G289,MIN(H289:I289)*G289)),0)</f>
        <v>0</v>
      </c>
      <c r="K289" t="e">
        <f>_xlfn.IFNA(VLOOKUP(TRIM(#REF!),Data!$A:$D,4,0)*#REF!,0)</f>
        <v>#REF!</v>
      </c>
      <c r="L289">
        <f>IF(TRIM('DL 1'!G290)="EDCLNHT0IRNLI",20000,0)</f>
        <v>0</v>
      </c>
      <c r="M289">
        <f>IF(ISERROR(MATCH('DL 1'!A290,#REF!,0)),0,J289*2)</f>
        <v>0</v>
      </c>
      <c r="N289" t="e">
        <f>#REF!</f>
        <v>#REF!</v>
      </c>
      <c r="O289">
        <f>_xlfn.IFNA(VLOOKUP(RIGHT(VLOOKUP(TRIM('DL 1'!G290),Data!$A:$B,2,0),1),Data!$L$23:$M$30,2,0),0)</f>
        <v>0</v>
      </c>
      <c r="P289">
        <f t="shared" si="50"/>
        <v>0</v>
      </c>
      <c r="Q289" s="7" t="b">
        <f t="shared" si="41"/>
        <v>0</v>
      </c>
      <c r="R289" s="27">
        <f>INCENTIVE!$E$8</f>
        <v>130000000</v>
      </c>
      <c r="S289">
        <f>'DL 1'!D290</f>
        <v>0</v>
      </c>
      <c r="T289" t="str">
        <f t="shared" si="42"/>
        <v>1</v>
      </c>
      <c r="V289" t="str">
        <f t="shared" si="43"/>
        <v>1</v>
      </c>
      <c r="W289">
        <f t="shared" si="44"/>
        <v>0.25</v>
      </c>
      <c r="X289" s="7">
        <f>'DL 1'!E290</f>
        <v>0</v>
      </c>
      <c r="Y289" s="69">
        <f>'DL 1'!G290</f>
        <v>0</v>
      </c>
      <c r="AC289" t="str">
        <f>IFERROR(VLOOKUP(Y289,Data!$G$65:$K$79,2,0) *X289,"")</f>
        <v/>
      </c>
      <c r="AD289" s="7">
        <f t="shared" si="45"/>
        <v>0</v>
      </c>
      <c r="AE289">
        <f>'DL 1'!F290</f>
        <v>0</v>
      </c>
      <c r="AF289" t="str">
        <f>IFERROR(VLOOKUP(Y289,Data!$G$65:$K$79,4,0),"")</f>
        <v/>
      </c>
      <c r="AG289" s="51" t="e">
        <f>#REF!</f>
        <v>#REF!</v>
      </c>
      <c r="AK289">
        <f t="shared" si="46"/>
        <v>0</v>
      </c>
      <c r="AL289">
        <f t="shared" si="47"/>
        <v>0</v>
      </c>
      <c r="AM289" s="70">
        <f t="shared" si="48"/>
        <v>0</v>
      </c>
      <c r="AN289" s="7" t="b">
        <f t="shared" si="49"/>
        <v>0</v>
      </c>
    </row>
    <row r="290" spans="1:40" x14ac:dyDescent="0.3">
      <c r="A290" s="50">
        <f>IF(D290="A",_xlfn.IFNA(INDEX(Data!$H$24:$J$28,MATCH('DL 1'!E291,Data!$G$24:$G$28,1),MATCH('DL 1'!D291,Data!$H$23:$J$23,1)),0),0)</f>
        <v>0</v>
      </c>
      <c r="B290">
        <f>IF('DL 1'!F291="Y",Q290,0)</f>
        <v>0</v>
      </c>
      <c r="C290" t="e">
        <f>_xlfn.IFNA(INDEX(Data!$H$24:$J$28,MATCH(#REF!,Data!$G$24:$G$28,1),MATCH(#REF!,Data!$H$23:$J$23,1)),0)</f>
        <v>#REF!</v>
      </c>
      <c r="D290" t="str">
        <f>RIGHT(TRIM('DL 1'!G291),1)</f>
        <v/>
      </c>
      <c r="E290" s="8">
        <f>'DL 1'!E291*'DL 1'!D291</f>
        <v>0</v>
      </c>
      <c r="F290" t="str">
        <f>_xlfn.IFNA(VLOOKUP(TRIM('DL 1'!G291),Data!$A:$C,3,0),"")</f>
        <v/>
      </c>
      <c r="G290" s="7">
        <f>'DL 1'!E291</f>
        <v>0</v>
      </c>
      <c r="H290" s="21">
        <f>_xlfn.IFNA(VLOOKUP(TRIM('DL 1'!G291),Data!$A:$D,4,0),0)</f>
        <v>0</v>
      </c>
      <c r="I290">
        <f>_xlfn.IFNA(INDEX(Data!$G$5:$K$10,MATCH('DL 1'!D291,Data!$F$5:$F$10,1),MATCH(_xlfn.SINGLE(#REF!),Data!$G$4:$K$4,1)),0)</f>
        <v>0</v>
      </c>
      <c r="J290">
        <f>_xlfn.IFNA(IF(VLOOKUP(TRIM('DL 1'!G291),Data!$A:$C,3,0)="ST1",H290*I290*G290,IF(VLOOKUP(TRIM('DL 1'!G291),Data!$A:$C,3,0)="IR0",H290*G290,MIN(H290:I290)*G290)),0)</f>
        <v>0</v>
      </c>
      <c r="K290" t="e">
        <f>_xlfn.IFNA(VLOOKUP(TRIM(#REF!),Data!$A:$D,4,0)*#REF!,0)</f>
        <v>#REF!</v>
      </c>
      <c r="L290">
        <f>IF(TRIM('DL 1'!G291)="EDCLNHT0IRNLI",20000,0)</f>
        <v>0</v>
      </c>
      <c r="M290">
        <f>IF(ISERROR(MATCH('DL 1'!A291,#REF!,0)),0,J290*2)</f>
        <v>0</v>
      </c>
      <c r="N290" t="e">
        <f>#REF!</f>
        <v>#REF!</v>
      </c>
      <c r="O290">
        <f>_xlfn.IFNA(VLOOKUP(RIGHT(VLOOKUP(TRIM('DL 1'!G291),Data!$A:$B,2,0),1),Data!$L$23:$M$30,2,0),0)</f>
        <v>0</v>
      </c>
      <c r="P290">
        <f t="shared" si="50"/>
        <v>0</v>
      </c>
      <c r="Q290" s="7" t="b">
        <f t="shared" si="41"/>
        <v>0</v>
      </c>
      <c r="R290" s="27">
        <f>INCENTIVE!$E$8</f>
        <v>130000000</v>
      </c>
      <c r="S290">
        <f>'DL 1'!D291</f>
        <v>0</v>
      </c>
      <c r="T290" t="str">
        <f t="shared" si="42"/>
        <v>1</v>
      </c>
      <c r="V290" t="str">
        <f t="shared" si="43"/>
        <v>1</v>
      </c>
      <c r="W290">
        <f t="shared" si="44"/>
        <v>0.25</v>
      </c>
      <c r="X290" s="7">
        <f>'DL 1'!E291</f>
        <v>0</v>
      </c>
      <c r="Y290" s="69">
        <f>'DL 1'!G291</f>
        <v>0</v>
      </c>
      <c r="AC290" t="str">
        <f>IFERROR(VLOOKUP(Y290,Data!$G$65:$K$79,2,0) *X290,"")</f>
        <v/>
      </c>
      <c r="AD290" s="7">
        <f t="shared" si="45"/>
        <v>0</v>
      </c>
      <c r="AE290">
        <f>'DL 1'!F291</f>
        <v>0</v>
      </c>
      <c r="AF290" t="str">
        <f>IFERROR(VLOOKUP(Y290,Data!$G$65:$K$79,4,0),"")</f>
        <v/>
      </c>
      <c r="AG290" s="51" t="e">
        <f>#REF!</f>
        <v>#REF!</v>
      </c>
      <c r="AK290">
        <f t="shared" si="46"/>
        <v>0</v>
      </c>
      <c r="AL290">
        <f t="shared" si="47"/>
        <v>0</v>
      </c>
      <c r="AM290" s="70">
        <f t="shared" si="48"/>
        <v>0</v>
      </c>
      <c r="AN290" s="7" t="b">
        <f t="shared" si="49"/>
        <v>0</v>
      </c>
    </row>
    <row r="291" spans="1:40" x14ac:dyDescent="0.3">
      <c r="A291" s="50">
        <f>IF(D291="A",_xlfn.IFNA(INDEX(Data!$H$24:$J$28,MATCH('DL 1'!E292,Data!$G$24:$G$28,1),MATCH('DL 1'!D292,Data!$H$23:$J$23,1)),0),0)</f>
        <v>0</v>
      </c>
      <c r="B291">
        <f>IF('DL 1'!F292="Y",Q291,0)</f>
        <v>0</v>
      </c>
      <c r="C291" t="e">
        <f>_xlfn.IFNA(INDEX(Data!$H$24:$J$28,MATCH(#REF!,Data!$G$24:$G$28,1),MATCH(#REF!,Data!$H$23:$J$23,1)),0)</f>
        <v>#REF!</v>
      </c>
      <c r="D291" t="str">
        <f>RIGHT(TRIM('DL 1'!G292),1)</f>
        <v/>
      </c>
      <c r="E291" s="8">
        <f>'DL 1'!E292*'DL 1'!D292</f>
        <v>0</v>
      </c>
      <c r="F291" t="str">
        <f>_xlfn.IFNA(VLOOKUP(TRIM('DL 1'!G292),Data!$A:$C,3,0),"")</f>
        <v/>
      </c>
      <c r="G291" s="7">
        <f>'DL 1'!E292</f>
        <v>0</v>
      </c>
      <c r="H291" s="21">
        <f>_xlfn.IFNA(VLOOKUP(TRIM('DL 1'!G292),Data!$A:$D,4,0),0)</f>
        <v>0</v>
      </c>
      <c r="I291">
        <f>_xlfn.IFNA(INDEX(Data!$G$5:$K$10,MATCH('DL 1'!D292,Data!$F$5:$F$10,1),MATCH(_xlfn.SINGLE(#REF!),Data!$G$4:$K$4,1)),0)</f>
        <v>0</v>
      </c>
      <c r="J291">
        <f>_xlfn.IFNA(IF(VLOOKUP(TRIM('DL 1'!G292),Data!$A:$C,3,0)="ST1",H291*I291*G291,IF(VLOOKUP(TRIM('DL 1'!G292),Data!$A:$C,3,0)="IR0",H291*G291,MIN(H291:I291)*G291)),0)</f>
        <v>0</v>
      </c>
      <c r="K291" t="e">
        <f>_xlfn.IFNA(VLOOKUP(TRIM(#REF!),Data!$A:$D,4,0)*#REF!,0)</f>
        <v>#REF!</v>
      </c>
      <c r="L291">
        <f>IF(TRIM('DL 1'!G292)="EDCLNHT0IRNLI",20000,0)</f>
        <v>0</v>
      </c>
      <c r="M291">
        <f>IF(ISERROR(MATCH('DL 1'!A292,#REF!,0)),0,J291*2)</f>
        <v>0</v>
      </c>
      <c r="N291" t="e">
        <f>#REF!</f>
        <v>#REF!</v>
      </c>
      <c r="O291">
        <f>_xlfn.IFNA(VLOOKUP(RIGHT(VLOOKUP(TRIM('DL 1'!G292),Data!$A:$B,2,0),1),Data!$L$23:$M$30,2,0),0)</f>
        <v>0</v>
      </c>
      <c r="P291">
        <f t="shared" si="50"/>
        <v>0</v>
      </c>
      <c r="Q291" s="7" t="b">
        <f t="shared" si="41"/>
        <v>0</v>
      </c>
      <c r="R291" s="27">
        <f>INCENTIVE!$E$8</f>
        <v>130000000</v>
      </c>
      <c r="S291">
        <f>'DL 1'!D292</f>
        <v>0</v>
      </c>
      <c r="T291" t="str">
        <f t="shared" si="42"/>
        <v>1</v>
      </c>
      <c r="V291" t="str">
        <f t="shared" si="43"/>
        <v>1</v>
      </c>
      <c r="W291">
        <f t="shared" si="44"/>
        <v>0.25</v>
      </c>
      <c r="X291" s="7">
        <f>'DL 1'!E292</f>
        <v>0</v>
      </c>
      <c r="Y291" s="69">
        <f>'DL 1'!G292</f>
        <v>0</v>
      </c>
      <c r="AC291" t="str">
        <f>IFERROR(VLOOKUP(Y291,Data!$G$65:$K$79,2,0) *X291,"")</f>
        <v/>
      </c>
      <c r="AD291" s="7">
        <f t="shared" si="45"/>
        <v>0</v>
      </c>
      <c r="AE291">
        <f>'DL 1'!F292</f>
        <v>0</v>
      </c>
      <c r="AF291" t="str">
        <f>IFERROR(VLOOKUP(Y291,Data!$G$65:$K$79,4,0),"")</f>
        <v/>
      </c>
      <c r="AG291" s="51" t="e">
        <f>#REF!</f>
        <v>#REF!</v>
      </c>
      <c r="AK291">
        <f t="shared" si="46"/>
        <v>0</v>
      </c>
      <c r="AL291">
        <f t="shared" si="47"/>
        <v>0</v>
      </c>
      <c r="AM291" s="70">
        <f t="shared" si="48"/>
        <v>0</v>
      </c>
      <c r="AN291" s="7" t="b">
        <f t="shared" si="49"/>
        <v>0</v>
      </c>
    </row>
    <row r="292" spans="1:40" x14ac:dyDescent="0.3">
      <c r="A292" s="50">
        <f>IF(D292="A",_xlfn.IFNA(INDEX(Data!$H$24:$J$28,MATCH('DL 1'!E293,Data!$G$24:$G$28,1),MATCH('DL 1'!D293,Data!$H$23:$J$23,1)),0),0)</f>
        <v>0</v>
      </c>
      <c r="B292">
        <f>IF('DL 1'!F293="Y",Q292,0)</f>
        <v>0</v>
      </c>
      <c r="C292" t="e">
        <f>_xlfn.IFNA(INDEX(Data!$H$24:$J$28,MATCH(#REF!,Data!$G$24:$G$28,1),MATCH(#REF!,Data!$H$23:$J$23,1)),0)</f>
        <v>#REF!</v>
      </c>
      <c r="D292" t="str">
        <f>RIGHT(TRIM('DL 1'!G293),1)</f>
        <v/>
      </c>
      <c r="E292" s="8">
        <f>'DL 1'!E293*'DL 1'!D293</f>
        <v>0</v>
      </c>
      <c r="F292" t="str">
        <f>_xlfn.IFNA(VLOOKUP(TRIM('DL 1'!G293),Data!$A:$C,3,0),"")</f>
        <v/>
      </c>
      <c r="G292" s="7">
        <f>'DL 1'!E293</f>
        <v>0</v>
      </c>
      <c r="H292" s="21">
        <f>_xlfn.IFNA(VLOOKUP(TRIM('DL 1'!G293),Data!$A:$D,4,0),0)</f>
        <v>0</v>
      </c>
      <c r="I292">
        <f>_xlfn.IFNA(INDEX(Data!$G$5:$K$10,MATCH('DL 1'!D293,Data!$F$5:$F$10,1),MATCH(_xlfn.SINGLE(#REF!),Data!$G$4:$K$4,1)),0)</f>
        <v>0</v>
      </c>
      <c r="J292">
        <f>_xlfn.IFNA(IF(VLOOKUP(TRIM('DL 1'!G293),Data!$A:$C,3,0)="ST1",H292*I292*G292,IF(VLOOKUP(TRIM('DL 1'!G293),Data!$A:$C,3,0)="IR0",H292*G292,MIN(H292:I292)*G292)),0)</f>
        <v>0</v>
      </c>
      <c r="K292" t="e">
        <f>_xlfn.IFNA(VLOOKUP(TRIM(#REF!),Data!$A:$D,4,0)*#REF!,0)</f>
        <v>#REF!</v>
      </c>
      <c r="L292">
        <f>IF(TRIM('DL 1'!G293)="EDCLNHT0IRNLI",20000,0)</f>
        <v>0</v>
      </c>
      <c r="M292">
        <f>IF(ISERROR(MATCH('DL 1'!A293,#REF!,0)),0,J292*2)</f>
        <v>0</v>
      </c>
      <c r="N292" t="e">
        <f>#REF!</f>
        <v>#REF!</v>
      </c>
      <c r="O292">
        <f>_xlfn.IFNA(VLOOKUP(RIGHT(VLOOKUP(TRIM('DL 1'!G293),Data!$A:$B,2,0),1),Data!$L$23:$M$30,2,0),0)</f>
        <v>0</v>
      </c>
      <c r="P292">
        <f t="shared" si="50"/>
        <v>0</v>
      </c>
      <c r="Q292" s="7" t="b">
        <f t="shared" si="41"/>
        <v>0</v>
      </c>
      <c r="R292" s="27">
        <f>INCENTIVE!$E$8</f>
        <v>130000000</v>
      </c>
      <c r="S292">
        <f>'DL 1'!D293</f>
        <v>0</v>
      </c>
      <c r="T292" t="str">
        <f t="shared" si="42"/>
        <v>1</v>
      </c>
      <c r="V292" t="str">
        <f t="shared" si="43"/>
        <v>1</v>
      </c>
      <c r="W292">
        <f t="shared" si="44"/>
        <v>0.25</v>
      </c>
      <c r="X292" s="7">
        <f>'DL 1'!E293</f>
        <v>0</v>
      </c>
      <c r="Y292" s="69">
        <f>'DL 1'!G293</f>
        <v>0</v>
      </c>
      <c r="AC292" t="str">
        <f>IFERROR(VLOOKUP(Y292,Data!$G$65:$K$79,2,0) *X292,"")</f>
        <v/>
      </c>
      <c r="AD292" s="7">
        <f t="shared" si="45"/>
        <v>0</v>
      </c>
      <c r="AE292">
        <f>'DL 1'!F293</f>
        <v>0</v>
      </c>
      <c r="AF292" t="str">
        <f>IFERROR(VLOOKUP(Y292,Data!$G$65:$K$79,4,0),"")</f>
        <v/>
      </c>
      <c r="AG292" s="51" t="e">
        <f>#REF!</f>
        <v>#REF!</v>
      </c>
      <c r="AK292">
        <f t="shared" si="46"/>
        <v>0</v>
      </c>
      <c r="AL292">
        <f t="shared" si="47"/>
        <v>0</v>
      </c>
      <c r="AM292" s="70">
        <f t="shared" si="48"/>
        <v>0</v>
      </c>
      <c r="AN292" s="7" t="b">
        <f t="shared" si="49"/>
        <v>0</v>
      </c>
    </row>
    <row r="293" spans="1:40" x14ac:dyDescent="0.3">
      <c r="A293" s="50">
        <f>IF(D293="A",_xlfn.IFNA(INDEX(Data!$H$24:$J$28,MATCH('DL 1'!E294,Data!$G$24:$G$28,1),MATCH('DL 1'!D294,Data!$H$23:$J$23,1)),0),0)</f>
        <v>0</v>
      </c>
      <c r="B293">
        <f>IF('DL 1'!F294="Y",Q293,0)</f>
        <v>0</v>
      </c>
      <c r="C293" t="e">
        <f>_xlfn.IFNA(INDEX(Data!$H$24:$J$28,MATCH(#REF!,Data!$G$24:$G$28,1),MATCH(#REF!,Data!$H$23:$J$23,1)),0)</f>
        <v>#REF!</v>
      </c>
      <c r="D293" t="str">
        <f>RIGHT(TRIM('DL 1'!G294),1)</f>
        <v/>
      </c>
      <c r="E293" s="8">
        <f>'DL 1'!E294*'DL 1'!D294</f>
        <v>0</v>
      </c>
      <c r="F293" t="str">
        <f>_xlfn.IFNA(VLOOKUP(TRIM('DL 1'!G294),Data!$A:$C,3,0),"")</f>
        <v/>
      </c>
      <c r="G293" s="7">
        <f>'DL 1'!E294</f>
        <v>0</v>
      </c>
      <c r="H293" s="21">
        <f>_xlfn.IFNA(VLOOKUP(TRIM('DL 1'!G294),Data!$A:$D,4,0),0)</f>
        <v>0</v>
      </c>
      <c r="I293">
        <f>_xlfn.IFNA(INDEX(Data!$G$5:$K$10,MATCH('DL 1'!D294,Data!$F$5:$F$10,1),MATCH(_xlfn.SINGLE(#REF!),Data!$G$4:$K$4,1)),0)</f>
        <v>0</v>
      </c>
      <c r="J293">
        <f>_xlfn.IFNA(IF(VLOOKUP(TRIM('DL 1'!G294),Data!$A:$C,3,0)="ST1",H293*I293*G293,IF(VLOOKUP(TRIM('DL 1'!G294),Data!$A:$C,3,0)="IR0",H293*G293,MIN(H293:I293)*G293)),0)</f>
        <v>0</v>
      </c>
      <c r="K293" t="e">
        <f>_xlfn.IFNA(VLOOKUP(TRIM(#REF!),Data!$A:$D,4,0)*#REF!,0)</f>
        <v>#REF!</v>
      </c>
      <c r="L293">
        <f>IF(TRIM('DL 1'!G294)="EDCLNHT0IRNLI",20000,0)</f>
        <v>0</v>
      </c>
      <c r="M293">
        <f>IF(ISERROR(MATCH('DL 1'!A294,#REF!,0)),0,J293*2)</f>
        <v>0</v>
      </c>
      <c r="N293" t="e">
        <f>#REF!</f>
        <v>#REF!</v>
      </c>
      <c r="O293">
        <f>_xlfn.IFNA(VLOOKUP(RIGHT(VLOOKUP(TRIM('DL 1'!G294),Data!$A:$B,2,0),1),Data!$L$23:$M$30,2,0),0)</f>
        <v>0</v>
      </c>
      <c r="P293">
        <f t="shared" si="50"/>
        <v>0</v>
      </c>
      <c r="Q293" s="7" t="b">
        <f t="shared" si="41"/>
        <v>0</v>
      </c>
      <c r="R293" s="27">
        <f>INCENTIVE!$E$8</f>
        <v>130000000</v>
      </c>
      <c r="S293">
        <f>'DL 1'!D294</f>
        <v>0</v>
      </c>
      <c r="T293" t="str">
        <f t="shared" si="42"/>
        <v>1</v>
      </c>
      <c r="V293" t="str">
        <f t="shared" si="43"/>
        <v>1</v>
      </c>
      <c r="W293">
        <f t="shared" si="44"/>
        <v>0.25</v>
      </c>
      <c r="X293" s="7">
        <f>'DL 1'!E294</f>
        <v>0</v>
      </c>
      <c r="Y293" s="69">
        <f>'DL 1'!G294</f>
        <v>0</v>
      </c>
      <c r="AC293" t="str">
        <f>IFERROR(VLOOKUP(Y293,Data!$G$65:$K$79,2,0) *X293,"")</f>
        <v/>
      </c>
      <c r="AD293" s="7">
        <f t="shared" si="45"/>
        <v>0</v>
      </c>
      <c r="AE293">
        <f>'DL 1'!F294</f>
        <v>0</v>
      </c>
      <c r="AF293" t="str">
        <f>IFERROR(VLOOKUP(Y293,Data!$G$65:$K$79,4,0),"")</f>
        <v/>
      </c>
      <c r="AG293" s="51" t="e">
        <f>#REF!</f>
        <v>#REF!</v>
      </c>
      <c r="AK293">
        <f t="shared" si="46"/>
        <v>0</v>
      </c>
      <c r="AL293">
        <f t="shared" si="47"/>
        <v>0</v>
      </c>
      <c r="AM293" s="70">
        <f t="shared" si="48"/>
        <v>0</v>
      </c>
      <c r="AN293" s="7" t="b">
        <f t="shared" si="49"/>
        <v>0</v>
      </c>
    </row>
    <row r="294" spans="1:40" x14ac:dyDescent="0.3">
      <c r="A294" s="50">
        <f>IF(D294="A",_xlfn.IFNA(INDEX(Data!$H$24:$J$28,MATCH('DL 1'!E295,Data!$G$24:$G$28,1),MATCH('DL 1'!D295,Data!$H$23:$J$23,1)),0),0)</f>
        <v>0</v>
      </c>
      <c r="B294">
        <f>IF('DL 1'!F295="Y",Q294,0)</f>
        <v>0</v>
      </c>
      <c r="C294" t="e">
        <f>_xlfn.IFNA(INDEX(Data!$H$24:$J$28,MATCH(#REF!,Data!$G$24:$G$28,1),MATCH(#REF!,Data!$H$23:$J$23,1)),0)</f>
        <v>#REF!</v>
      </c>
      <c r="D294" t="str">
        <f>RIGHT(TRIM('DL 1'!G295),1)</f>
        <v/>
      </c>
      <c r="E294" s="8">
        <f>'DL 1'!E295*'DL 1'!D295</f>
        <v>0</v>
      </c>
      <c r="F294" t="str">
        <f>_xlfn.IFNA(VLOOKUP(TRIM('DL 1'!G295),Data!$A:$C,3,0),"")</f>
        <v/>
      </c>
      <c r="G294" s="7">
        <f>'DL 1'!E295</f>
        <v>0</v>
      </c>
      <c r="H294" s="21">
        <f>_xlfn.IFNA(VLOOKUP(TRIM('DL 1'!G295),Data!$A:$D,4,0),0)</f>
        <v>0</v>
      </c>
      <c r="I294">
        <f>_xlfn.IFNA(INDEX(Data!$G$5:$K$10,MATCH('DL 1'!D295,Data!$F$5:$F$10,1),MATCH(_xlfn.SINGLE(#REF!),Data!$G$4:$K$4,1)),0)</f>
        <v>0</v>
      </c>
      <c r="J294">
        <f>_xlfn.IFNA(IF(VLOOKUP(TRIM('DL 1'!G295),Data!$A:$C,3,0)="ST1",H294*I294*G294,IF(VLOOKUP(TRIM('DL 1'!G295),Data!$A:$C,3,0)="IR0",H294*G294,MIN(H294:I294)*G294)),0)</f>
        <v>0</v>
      </c>
      <c r="K294" t="e">
        <f>_xlfn.IFNA(VLOOKUP(TRIM(#REF!),Data!$A:$D,4,0)*#REF!,0)</f>
        <v>#REF!</v>
      </c>
      <c r="L294">
        <f>IF(TRIM('DL 1'!G295)="EDCLNHT0IRNLI",20000,0)</f>
        <v>0</v>
      </c>
      <c r="M294">
        <f>IF(ISERROR(MATCH('DL 1'!A295,#REF!,0)),0,J294*2)</f>
        <v>0</v>
      </c>
      <c r="N294" t="e">
        <f>#REF!</f>
        <v>#REF!</v>
      </c>
      <c r="O294">
        <f>_xlfn.IFNA(VLOOKUP(RIGHT(VLOOKUP(TRIM('DL 1'!G295),Data!$A:$B,2,0),1),Data!$L$23:$M$30,2,0),0)</f>
        <v>0</v>
      </c>
      <c r="P294">
        <f t="shared" si="50"/>
        <v>0</v>
      </c>
      <c r="Q294" s="7" t="b">
        <f t="shared" si="41"/>
        <v>0</v>
      </c>
      <c r="R294" s="27">
        <f>INCENTIVE!$E$8</f>
        <v>130000000</v>
      </c>
      <c r="S294">
        <f>'DL 1'!D295</f>
        <v>0</v>
      </c>
      <c r="T294" t="str">
        <f t="shared" si="42"/>
        <v>1</v>
      </c>
      <c r="V294" t="str">
        <f t="shared" si="43"/>
        <v>1</v>
      </c>
      <c r="W294">
        <f t="shared" si="44"/>
        <v>0.25</v>
      </c>
      <c r="X294" s="7">
        <f>'DL 1'!E295</f>
        <v>0</v>
      </c>
      <c r="Y294" s="69">
        <f>'DL 1'!G295</f>
        <v>0</v>
      </c>
      <c r="AC294" t="str">
        <f>IFERROR(VLOOKUP(Y294,Data!$G$65:$K$79,2,0) *X294,"")</f>
        <v/>
      </c>
      <c r="AD294" s="7">
        <f t="shared" si="45"/>
        <v>0</v>
      </c>
      <c r="AE294">
        <f>'DL 1'!F295</f>
        <v>0</v>
      </c>
      <c r="AF294" t="str">
        <f>IFERROR(VLOOKUP(Y294,Data!$G$65:$K$79,4,0),"")</f>
        <v/>
      </c>
      <c r="AG294" s="51" t="e">
        <f>#REF!</f>
        <v>#REF!</v>
      </c>
      <c r="AK294">
        <f t="shared" si="46"/>
        <v>0</v>
      </c>
      <c r="AL294">
        <f t="shared" si="47"/>
        <v>0</v>
      </c>
      <c r="AM294" s="70">
        <f t="shared" si="48"/>
        <v>0</v>
      </c>
      <c r="AN294" s="7" t="b">
        <f t="shared" si="49"/>
        <v>0</v>
      </c>
    </row>
    <row r="295" spans="1:40" x14ac:dyDescent="0.3">
      <c r="A295" s="50">
        <f>IF(D295="A",_xlfn.IFNA(INDEX(Data!$H$24:$J$28,MATCH('DL 1'!E296,Data!$G$24:$G$28,1),MATCH('DL 1'!D296,Data!$H$23:$J$23,1)),0),0)</f>
        <v>0</v>
      </c>
      <c r="B295">
        <f>IF('DL 1'!F296="Y",Q295,0)</f>
        <v>0</v>
      </c>
      <c r="C295" t="e">
        <f>_xlfn.IFNA(INDEX(Data!$H$24:$J$28,MATCH(#REF!,Data!$G$24:$G$28,1),MATCH(#REF!,Data!$H$23:$J$23,1)),0)</f>
        <v>#REF!</v>
      </c>
      <c r="D295" t="str">
        <f>RIGHT(TRIM('DL 1'!G296),1)</f>
        <v/>
      </c>
      <c r="E295" s="8">
        <f>'DL 1'!E296*'DL 1'!D296</f>
        <v>0</v>
      </c>
      <c r="F295" t="str">
        <f>_xlfn.IFNA(VLOOKUP(TRIM('DL 1'!G296),Data!$A:$C,3,0),"")</f>
        <v/>
      </c>
      <c r="G295" s="7">
        <f>'DL 1'!E296</f>
        <v>0</v>
      </c>
      <c r="H295" s="21">
        <f>_xlfn.IFNA(VLOOKUP(TRIM('DL 1'!G296),Data!$A:$D,4,0),0)</f>
        <v>0</v>
      </c>
      <c r="I295">
        <f>_xlfn.IFNA(INDEX(Data!$G$5:$K$10,MATCH('DL 1'!D296,Data!$F$5:$F$10,1),MATCH(_xlfn.SINGLE(#REF!),Data!$G$4:$K$4,1)),0)</f>
        <v>0</v>
      </c>
      <c r="J295">
        <f>_xlfn.IFNA(IF(VLOOKUP(TRIM('DL 1'!G296),Data!$A:$C,3,0)="ST1",H295*I295*G295,IF(VLOOKUP(TRIM('DL 1'!G296),Data!$A:$C,3,0)="IR0",H295*G295,MIN(H295:I295)*G295)),0)</f>
        <v>0</v>
      </c>
      <c r="K295" t="e">
        <f>_xlfn.IFNA(VLOOKUP(TRIM(#REF!),Data!$A:$D,4,0)*#REF!,0)</f>
        <v>#REF!</v>
      </c>
      <c r="L295">
        <f>IF(TRIM('DL 1'!G296)="EDCLNHT0IRNLI",20000,0)</f>
        <v>0</v>
      </c>
      <c r="M295">
        <f>IF(ISERROR(MATCH('DL 1'!A296,#REF!,0)),0,J295*2)</f>
        <v>0</v>
      </c>
      <c r="N295" t="e">
        <f>#REF!</f>
        <v>#REF!</v>
      </c>
      <c r="O295">
        <f>_xlfn.IFNA(VLOOKUP(RIGHT(VLOOKUP(TRIM('DL 1'!G296),Data!$A:$B,2,0),1),Data!$L$23:$M$30,2,0),0)</f>
        <v>0</v>
      </c>
      <c r="P295">
        <f t="shared" si="50"/>
        <v>0</v>
      </c>
      <c r="Q295" s="7" t="b">
        <f t="shared" si="41"/>
        <v>0</v>
      </c>
      <c r="R295" s="27">
        <f>INCENTIVE!$E$8</f>
        <v>130000000</v>
      </c>
      <c r="S295">
        <f>'DL 1'!D296</f>
        <v>0</v>
      </c>
      <c r="T295" t="str">
        <f t="shared" si="42"/>
        <v>1</v>
      </c>
      <c r="V295" t="str">
        <f t="shared" si="43"/>
        <v>1</v>
      </c>
      <c r="W295">
        <f t="shared" si="44"/>
        <v>0.25</v>
      </c>
      <c r="X295" s="7">
        <f>'DL 1'!E296</f>
        <v>0</v>
      </c>
      <c r="Y295" s="69">
        <f>'DL 1'!G296</f>
        <v>0</v>
      </c>
      <c r="AC295" t="str">
        <f>IFERROR(VLOOKUP(Y295,Data!$G$65:$K$79,2,0) *X295,"")</f>
        <v/>
      </c>
      <c r="AD295" s="7">
        <f t="shared" si="45"/>
        <v>0</v>
      </c>
      <c r="AE295">
        <f>'DL 1'!F296</f>
        <v>0</v>
      </c>
      <c r="AF295" t="str">
        <f>IFERROR(VLOOKUP(Y295,Data!$G$65:$K$79,4,0),"")</f>
        <v/>
      </c>
      <c r="AG295" s="51" t="e">
        <f>#REF!</f>
        <v>#REF!</v>
      </c>
      <c r="AK295">
        <f t="shared" si="46"/>
        <v>0</v>
      </c>
      <c r="AL295">
        <f t="shared" si="47"/>
        <v>0</v>
      </c>
      <c r="AM295" s="70">
        <f t="shared" si="48"/>
        <v>0</v>
      </c>
      <c r="AN295" s="7" t="b">
        <f t="shared" si="49"/>
        <v>0</v>
      </c>
    </row>
    <row r="296" spans="1:40" x14ac:dyDescent="0.3">
      <c r="A296" s="50">
        <f>IF(D296="A",_xlfn.IFNA(INDEX(Data!$H$24:$J$28,MATCH('DL 1'!E297,Data!$G$24:$G$28,1),MATCH('DL 1'!D297,Data!$H$23:$J$23,1)),0),0)</f>
        <v>0</v>
      </c>
      <c r="B296">
        <f>IF('DL 1'!F297="Y",Q296,0)</f>
        <v>0</v>
      </c>
      <c r="C296" t="e">
        <f>_xlfn.IFNA(INDEX(Data!$H$24:$J$28,MATCH(#REF!,Data!$G$24:$G$28,1),MATCH(#REF!,Data!$H$23:$J$23,1)),0)</f>
        <v>#REF!</v>
      </c>
      <c r="D296" t="str">
        <f>RIGHT(TRIM('DL 1'!G297),1)</f>
        <v/>
      </c>
      <c r="E296" s="8">
        <f>'DL 1'!E297*'DL 1'!D297</f>
        <v>0</v>
      </c>
      <c r="F296" t="str">
        <f>_xlfn.IFNA(VLOOKUP(TRIM('DL 1'!G297),Data!$A:$C,3,0),"")</f>
        <v/>
      </c>
      <c r="G296" s="7">
        <f>'DL 1'!E297</f>
        <v>0</v>
      </c>
      <c r="H296" s="21">
        <f>_xlfn.IFNA(VLOOKUP(TRIM('DL 1'!G297),Data!$A:$D,4,0),0)</f>
        <v>0</v>
      </c>
      <c r="I296">
        <f>_xlfn.IFNA(INDEX(Data!$G$5:$K$10,MATCH('DL 1'!D297,Data!$F$5:$F$10,1),MATCH(_xlfn.SINGLE(#REF!),Data!$G$4:$K$4,1)),0)</f>
        <v>0</v>
      </c>
      <c r="J296">
        <f>_xlfn.IFNA(IF(VLOOKUP(TRIM('DL 1'!G297),Data!$A:$C,3,0)="ST1",H296*I296*G296,IF(VLOOKUP(TRIM('DL 1'!G297),Data!$A:$C,3,0)="IR0",H296*G296,MIN(H296:I296)*G296)),0)</f>
        <v>0</v>
      </c>
      <c r="K296" t="e">
        <f>_xlfn.IFNA(VLOOKUP(TRIM(#REF!),Data!$A:$D,4,0)*#REF!,0)</f>
        <v>#REF!</v>
      </c>
      <c r="L296">
        <f>IF(TRIM('DL 1'!G297)="EDCLNHT0IRNLI",20000,0)</f>
        <v>0</v>
      </c>
      <c r="M296">
        <f>IF(ISERROR(MATCH('DL 1'!A297,#REF!,0)),0,J296*2)</f>
        <v>0</v>
      </c>
      <c r="N296" t="e">
        <f>#REF!</f>
        <v>#REF!</v>
      </c>
      <c r="O296">
        <f>_xlfn.IFNA(VLOOKUP(RIGHT(VLOOKUP(TRIM('DL 1'!G297),Data!$A:$B,2,0),1),Data!$L$23:$M$30,2,0),0)</f>
        <v>0</v>
      </c>
      <c r="P296">
        <f t="shared" si="50"/>
        <v>0</v>
      </c>
      <c r="Q296" s="7" t="b">
        <f t="shared" si="41"/>
        <v>0</v>
      </c>
      <c r="R296" s="27">
        <f>INCENTIVE!$E$8</f>
        <v>130000000</v>
      </c>
      <c r="S296">
        <f>'DL 1'!D297</f>
        <v>0</v>
      </c>
      <c r="T296" t="str">
        <f t="shared" si="42"/>
        <v>1</v>
      </c>
      <c r="V296" t="str">
        <f t="shared" si="43"/>
        <v>1</v>
      </c>
      <c r="W296">
        <f t="shared" si="44"/>
        <v>0.25</v>
      </c>
      <c r="X296" s="7">
        <f>'DL 1'!E297</f>
        <v>0</v>
      </c>
      <c r="Y296" s="69">
        <f>'DL 1'!G297</f>
        <v>0</v>
      </c>
      <c r="AC296" t="str">
        <f>IFERROR(VLOOKUP(Y296,Data!$G$65:$K$79,2,0) *X296,"")</f>
        <v/>
      </c>
      <c r="AD296" s="7">
        <f t="shared" si="45"/>
        <v>0</v>
      </c>
      <c r="AE296">
        <f>'DL 1'!F297</f>
        <v>0</v>
      </c>
      <c r="AF296" t="str">
        <f>IFERROR(VLOOKUP(Y296,Data!$G$65:$K$79,4,0),"")</f>
        <v/>
      </c>
      <c r="AG296" s="51" t="e">
        <f>#REF!</f>
        <v>#REF!</v>
      </c>
      <c r="AK296">
        <f t="shared" si="46"/>
        <v>0</v>
      </c>
      <c r="AL296">
        <f t="shared" si="47"/>
        <v>0</v>
      </c>
      <c r="AM296" s="70">
        <f t="shared" si="48"/>
        <v>0</v>
      </c>
      <c r="AN296" s="7" t="b">
        <f t="shared" si="49"/>
        <v>0</v>
      </c>
    </row>
    <row r="297" spans="1:40" x14ac:dyDescent="0.3">
      <c r="A297" s="50">
        <f>IF(D297="A",_xlfn.IFNA(INDEX(Data!$H$24:$J$28,MATCH('DL 1'!E298,Data!$G$24:$G$28,1),MATCH('DL 1'!D298,Data!$H$23:$J$23,1)),0),0)</f>
        <v>0</v>
      </c>
      <c r="B297">
        <f>IF('DL 1'!F298="Y",Q297,0)</f>
        <v>0</v>
      </c>
      <c r="C297" t="e">
        <f>_xlfn.IFNA(INDEX(Data!$H$24:$J$28,MATCH(#REF!,Data!$G$24:$G$28,1),MATCH(#REF!,Data!$H$23:$J$23,1)),0)</f>
        <v>#REF!</v>
      </c>
      <c r="D297" t="str">
        <f>RIGHT(TRIM('DL 1'!G298),1)</f>
        <v/>
      </c>
      <c r="E297" s="8">
        <f>'DL 1'!E298*'DL 1'!D298</f>
        <v>0</v>
      </c>
      <c r="F297" t="str">
        <f>_xlfn.IFNA(VLOOKUP(TRIM('DL 1'!G298),Data!$A:$C,3,0),"")</f>
        <v/>
      </c>
      <c r="G297" s="7">
        <f>'DL 1'!E298</f>
        <v>0</v>
      </c>
      <c r="H297" s="21">
        <f>_xlfn.IFNA(VLOOKUP(TRIM('DL 1'!G298),Data!$A:$D,4,0),0)</f>
        <v>0</v>
      </c>
      <c r="I297">
        <f>_xlfn.IFNA(INDEX(Data!$G$5:$K$10,MATCH('DL 1'!D298,Data!$F$5:$F$10,1),MATCH(_xlfn.SINGLE(#REF!),Data!$G$4:$K$4,1)),0)</f>
        <v>0</v>
      </c>
      <c r="J297">
        <f>_xlfn.IFNA(IF(VLOOKUP(TRIM('DL 1'!G298),Data!$A:$C,3,0)="ST1",H297*I297*G297,IF(VLOOKUP(TRIM('DL 1'!G298),Data!$A:$C,3,0)="IR0",H297*G297,MIN(H297:I297)*G297)),0)</f>
        <v>0</v>
      </c>
      <c r="K297" t="e">
        <f>_xlfn.IFNA(VLOOKUP(TRIM(#REF!),Data!$A:$D,4,0)*#REF!,0)</f>
        <v>#REF!</v>
      </c>
      <c r="L297">
        <f>IF(TRIM('DL 1'!G298)="EDCLNHT0IRNLI",20000,0)</f>
        <v>0</v>
      </c>
      <c r="M297">
        <f>IF(ISERROR(MATCH('DL 1'!A298,#REF!,0)),0,J297*2)</f>
        <v>0</v>
      </c>
      <c r="N297" t="e">
        <f>#REF!</f>
        <v>#REF!</v>
      </c>
      <c r="O297">
        <f>_xlfn.IFNA(VLOOKUP(RIGHT(VLOOKUP(TRIM('DL 1'!G298),Data!$A:$B,2,0),1),Data!$L$23:$M$30,2,0),0)</f>
        <v>0</v>
      </c>
      <c r="P297">
        <f t="shared" si="50"/>
        <v>0</v>
      </c>
      <c r="Q297" s="7" t="b">
        <f t="shared" si="41"/>
        <v>0</v>
      </c>
      <c r="R297" s="27">
        <f>INCENTIVE!$E$8</f>
        <v>130000000</v>
      </c>
      <c r="S297">
        <f>'DL 1'!D298</f>
        <v>0</v>
      </c>
      <c r="T297" t="str">
        <f t="shared" si="42"/>
        <v>1</v>
      </c>
      <c r="V297" t="str">
        <f t="shared" si="43"/>
        <v>1</v>
      </c>
      <c r="W297">
        <f t="shared" si="44"/>
        <v>0.25</v>
      </c>
      <c r="X297" s="7">
        <f>'DL 1'!E298</f>
        <v>0</v>
      </c>
      <c r="Y297" s="69">
        <f>'DL 1'!G298</f>
        <v>0</v>
      </c>
      <c r="AC297" t="str">
        <f>IFERROR(VLOOKUP(Y297,Data!$G$65:$K$79,2,0) *X297,"")</f>
        <v/>
      </c>
      <c r="AD297" s="7">
        <f t="shared" si="45"/>
        <v>0</v>
      </c>
      <c r="AE297">
        <f>'DL 1'!F298</f>
        <v>0</v>
      </c>
      <c r="AF297" t="str">
        <f>IFERROR(VLOOKUP(Y297,Data!$G$65:$K$79,4,0),"")</f>
        <v/>
      </c>
      <c r="AG297" s="51" t="e">
        <f>#REF!</f>
        <v>#REF!</v>
      </c>
      <c r="AK297">
        <f t="shared" si="46"/>
        <v>0</v>
      </c>
      <c r="AL297">
        <f t="shared" si="47"/>
        <v>0</v>
      </c>
      <c r="AM297" s="70">
        <f t="shared" si="48"/>
        <v>0</v>
      </c>
      <c r="AN297" s="7" t="b">
        <f t="shared" si="49"/>
        <v>0</v>
      </c>
    </row>
    <row r="298" spans="1:40" x14ac:dyDescent="0.3">
      <c r="A298" s="50">
        <f>IF(D298="A",_xlfn.IFNA(INDEX(Data!$H$24:$J$28,MATCH('DL 1'!E299,Data!$G$24:$G$28,1),MATCH('DL 1'!D299,Data!$H$23:$J$23,1)),0),0)</f>
        <v>0</v>
      </c>
      <c r="B298">
        <f>IF('DL 1'!F299="Y",Q298,0)</f>
        <v>0</v>
      </c>
      <c r="C298" t="e">
        <f>_xlfn.IFNA(INDEX(Data!$H$24:$J$28,MATCH(#REF!,Data!$G$24:$G$28,1),MATCH(#REF!,Data!$H$23:$J$23,1)),0)</f>
        <v>#REF!</v>
      </c>
      <c r="D298" t="str">
        <f>RIGHT(TRIM('DL 1'!G299),1)</f>
        <v/>
      </c>
      <c r="E298" s="8">
        <f>'DL 1'!E299*'DL 1'!D299</f>
        <v>0</v>
      </c>
      <c r="F298" t="str">
        <f>_xlfn.IFNA(VLOOKUP(TRIM('DL 1'!G299),Data!$A:$C,3,0),"")</f>
        <v/>
      </c>
      <c r="G298" s="7">
        <f>'DL 1'!E299</f>
        <v>0</v>
      </c>
      <c r="H298" s="21">
        <f>_xlfn.IFNA(VLOOKUP(TRIM('DL 1'!G299),Data!$A:$D,4,0),0)</f>
        <v>0</v>
      </c>
      <c r="I298">
        <f>_xlfn.IFNA(INDEX(Data!$G$5:$K$10,MATCH('DL 1'!D299,Data!$F$5:$F$10,1),MATCH(_xlfn.SINGLE(#REF!),Data!$G$4:$K$4,1)),0)</f>
        <v>0</v>
      </c>
      <c r="J298">
        <f>_xlfn.IFNA(IF(VLOOKUP(TRIM('DL 1'!G299),Data!$A:$C,3,0)="ST1",H298*I298*G298,IF(VLOOKUP(TRIM('DL 1'!G299),Data!$A:$C,3,0)="IR0",H298*G298,MIN(H298:I298)*G298)),0)</f>
        <v>0</v>
      </c>
      <c r="K298" t="e">
        <f>_xlfn.IFNA(VLOOKUP(TRIM(#REF!),Data!$A:$D,4,0)*#REF!,0)</f>
        <v>#REF!</v>
      </c>
      <c r="L298">
        <f>IF(TRIM('DL 1'!G299)="EDCLNHT0IRNLI",20000,0)</f>
        <v>0</v>
      </c>
      <c r="M298">
        <f>IF(ISERROR(MATCH('DL 1'!A299,#REF!,0)),0,J298*2)</f>
        <v>0</v>
      </c>
      <c r="N298" t="e">
        <f>#REF!</f>
        <v>#REF!</v>
      </c>
      <c r="O298">
        <f>_xlfn.IFNA(VLOOKUP(RIGHT(VLOOKUP(TRIM('DL 1'!G299),Data!$A:$B,2,0),1),Data!$L$23:$M$30,2,0),0)</f>
        <v>0</v>
      </c>
      <c r="P298">
        <f t="shared" si="50"/>
        <v>0</v>
      </c>
      <c r="Q298" s="7" t="b">
        <f t="shared" si="41"/>
        <v>0</v>
      </c>
      <c r="R298" s="27">
        <f>INCENTIVE!$E$8</f>
        <v>130000000</v>
      </c>
      <c r="S298">
        <f>'DL 1'!D299</f>
        <v>0</v>
      </c>
      <c r="T298" t="str">
        <f t="shared" si="42"/>
        <v>1</v>
      </c>
      <c r="V298" t="str">
        <f t="shared" si="43"/>
        <v>1</v>
      </c>
      <c r="W298">
        <f t="shared" si="44"/>
        <v>0.25</v>
      </c>
      <c r="X298" s="7">
        <f>'DL 1'!E299</f>
        <v>0</v>
      </c>
      <c r="Y298" s="69">
        <f>'DL 1'!G299</f>
        <v>0</v>
      </c>
      <c r="AC298" t="str">
        <f>IFERROR(VLOOKUP(Y298,Data!$G$65:$K$79,2,0) *X298,"")</f>
        <v/>
      </c>
      <c r="AD298" s="7">
        <f t="shared" si="45"/>
        <v>0</v>
      </c>
      <c r="AE298">
        <f>'DL 1'!F299</f>
        <v>0</v>
      </c>
      <c r="AF298" t="str">
        <f>IFERROR(VLOOKUP(Y298,Data!$G$65:$K$79,4,0),"")</f>
        <v/>
      </c>
      <c r="AG298" s="51" t="e">
        <f>#REF!</f>
        <v>#REF!</v>
      </c>
      <c r="AK298">
        <f t="shared" si="46"/>
        <v>0</v>
      </c>
      <c r="AL298">
        <f t="shared" si="47"/>
        <v>0</v>
      </c>
      <c r="AM298" s="70">
        <f t="shared" si="48"/>
        <v>0</v>
      </c>
      <c r="AN298" s="7" t="b">
        <f t="shared" si="49"/>
        <v>0</v>
      </c>
    </row>
    <row r="299" spans="1:40" x14ac:dyDescent="0.3">
      <c r="A299" s="50">
        <f>IF(D299="A",_xlfn.IFNA(INDEX(Data!$H$24:$J$28,MATCH('DL 1'!E300,Data!$G$24:$G$28,1),MATCH('DL 1'!D300,Data!$H$23:$J$23,1)),0),0)</f>
        <v>0</v>
      </c>
      <c r="B299">
        <f>IF('DL 1'!F300="Y",Q299,0)</f>
        <v>0</v>
      </c>
      <c r="C299" t="e">
        <f>_xlfn.IFNA(INDEX(Data!$H$24:$J$28,MATCH(#REF!,Data!$G$24:$G$28,1),MATCH(#REF!,Data!$H$23:$J$23,1)),0)</f>
        <v>#REF!</v>
      </c>
      <c r="D299" t="str">
        <f>RIGHT(TRIM('DL 1'!G300),1)</f>
        <v/>
      </c>
      <c r="E299" s="8">
        <f>'DL 1'!E300*'DL 1'!D300</f>
        <v>0</v>
      </c>
      <c r="F299" t="str">
        <f>_xlfn.IFNA(VLOOKUP(TRIM('DL 1'!G300),Data!$A:$C,3,0),"")</f>
        <v/>
      </c>
      <c r="G299" s="7">
        <f>'DL 1'!E300</f>
        <v>0</v>
      </c>
      <c r="H299" s="21">
        <f>_xlfn.IFNA(VLOOKUP(TRIM('DL 1'!G300),Data!$A:$D,4,0),0)</f>
        <v>0</v>
      </c>
      <c r="I299">
        <f>_xlfn.IFNA(INDEX(Data!$G$5:$K$10,MATCH('DL 1'!D300,Data!$F$5:$F$10,1),MATCH(_xlfn.SINGLE(#REF!),Data!$G$4:$K$4,1)),0)</f>
        <v>0</v>
      </c>
      <c r="J299">
        <f>_xlfn.IFNA(IF(VLOOKUP(TRIM('DL 1'!G300),Data!$A:$C,3,0)="ST1",H299*I299*G299,IF(VLOOKUP(TRIM('DL 1'!G300),Data!$A:$C,3,0)="IR0",H299*G299,MIN(H299:I299)*G299)),0)</f>
        <v>0</v>
      </c>
      <c r="K299" t="e">
        <f>_xlfn.IFNA(VLOOKUP(TRIM(#REF!),Data!$A:$D,4,0)*#REF!,0)</f>
        <v>#REF!</v>
      </c>
      <c r="L299">
        <f>IF(TRIM('DL 1'!G300)="EDCLNHT0IRNLI",20000,0)</f>
        <v>0</v>
      </c>
      <c r="M299">
        <f>IF(ISERROR(MATCH('DL 1'!A300,#REF!,0)),0,J299*2)</f>
        <v>0</v>
      </c>
      <c r="N299" t="e">
        <f>#REF!</f>
        <v>#REF!</v>
      </c>
      <c r="O299">
        <f>_xlfn.IFNA(VLOOKUP(RIGHT(VLOOKUP(TRIM('DL 1'!G300),Data!$A:$B,2,0),1),Data!$L$23:$M$30,2,0),0)</f>
        <v>0</v>
      </c>
      <c r="P299">
        <f t="shared" si="50"/>
        <v>0</v>
      </c>
      <c r="Q299" s="7" t="b">
        <f t="shared" si="41"/>
        <v>0</v>
      </c>
      <c r="R299" s="27">
        <f>INCENTIVE!$E$8</f>
        <v>130000000</v>
      </c>
      <c r="S299">
        <f>'DL 1'!D300</f>
        <v>0</v>
      </c>
      <c r="T299" t="str">
        <f t="shared" si="42"/>
        <v>1</v>
      </c>
      <c r="V299" t="str">
        <f t="shared" si="43"/>
        <v>1</v>
      </c>
      <c r="W299">
        <f t="shared" si="44"/>
        <v>0.25</v>
      </c>
      <c r="X299" s="7">
        <f>'DL 1'!E300</f>
        <v>0</v>
      </c>
      <c r="Y299" s="69">
        <f>'DL 1'!G300</f>
        <v>0</v>
      </c>
      <c r="AC299" t="str">
        <f>IFERROR(VLOOKUP(Y299,Data!$G$65:$K$79,2,0) *X299,"")</f>
        <v/>
      </c>
      <c r="AD299" s="7">
        <f t="shared" si="45"/>
        <v>0</v>
      </c>
      <c r="AE299">
        <f>'DL 1'!F300</f>
        <v>0</v>
      </c>
      <c r="AF299" t="str">
        <f>IFERROR(VLOOKUP(Y299,Data!$G$65:$K$79,4,0),"")</f>
        <v/>
      </c>
      <c r="AG299" s="51" t="e">
        <f>#REF!</f>
        <v>#REF!</v>
      </c>
      <c r="AK299">
        <f t="shared" si="46"/>
        <v>0</v>
      </c>
      <c r="AL299">
        <f t="shared" si="47"/>
        <v>0</v>
      </c>
      <c r="AM299" s="70">
        <f t="shared" si="48"/>
        <v>0</v>
      </c>
      <c r="AN299" s="7" t="b">
        <f t="shared" si="49"/>
        <v>0</v>
      </c>
    </row>
    <row r="300" spans="1:40" x14ac:dyDescent="0.3">
      <c r="A300" s="50">
        <f>IF(D300="A",_xlfn.IFNA(INDEX(Data!$H$24:$J$28,MATCH('DL 1'!E301,Data!$G$24:$G$28,1),MATCH('DL 1'!D301,Data!$H$23:$J$23,1)),0),0)</f>
        <v>0</v>
      </c>
      <c r="B300">
        <f>IF('DL 1'!F301="Y",Q300,0)</f>
        <v>0</v>
      </c>
      <c r="C300" t="e">
        <f>_xlfn.IFNA(INDEX(Data!$H$24:$J$28,MATCH(#REF!,Data!$G$24:$G$28,1),MATCH(#REF!,Data!$H$23:$J$23,1)),0)</f>
        <v>#REF!</v>
      </c>
      <c r="D300" t="str">
        <f>RIGHT(TRIM('DL 1'!G301),1)</f>
        <v/>
      </c>
      <c r="E300" s="8">
        <f>'DL 1'!E301*'DL 1'!D301</f>
        <v>0</v>
      </c>
      <c r="F300" t="str">
        <f>_xlfn.IFNA(VLOOKUP(TRIM('DL 1'!G301),Data!$A:$C,3,0),"")</f>
        <v/>
      </c>
      <c r="G300" s="7">
        <f>'DL 1'!E301</f>
        <v>0</v>
      </c>
      <c r="H300" s="21">
        <f>_xlfn.IFNA(VLOOKUP(TRIM('DL 1'!G301),Data!$A:$D,4,0),0)</f>
        <v>0</v>
      </c>
      <c r="I300">
        <f>_xlfn.IFNA(INDEX(Data!$G$5:$K$10,MATCH('DL 1'!D301,Data!$F$5:$F$10,1),MATCH(_xlfn.SINGLE(#REF!),Data!$G$4:$K$4,1)),0)</f>
        <v>0</v>
      </c>
      <c r="J300">
        <f>_xlfn.IFNA(IF(VLOOKUP(TRIM('DL 1'!G301),Data!$A:$C,3,0)="ST1",H300*I300*G300,IF(VLOOKUP(TRIM('DL 1'!G301),Data!$A:$C,3,0)="IR0",H300*G300,MIN(H300:I300)*G300)),0)</f>
        <v>0</v>
      </c>
      <c r="K300" t="e">
        <f>_xlfn.IFNA(VLOOKUP(TRIM(#REF!),Data!$A:$D,4,0)*#REF!,0)</f>
        <v>#REF!</v>
      </c>
      <c r="L300">
        <f>IF(TRIM('DL 1'!G301)="EDCLNHT0IRNLI",20000,0)</f>
        <v>0</v>
      </c>
      <c r="M300">
        <f>IF(ISERROR(MATCH('DL 1'!A301,#REF!,0)),0,J300*2)</f>
        <v>0</v>
      </c>
      <c r="N300" t="e">
        <f>#REF!</f>
        <v>#REF!</v>
      </c>
      <c r="O300">
        <f>_xlfn.IFNA(VLOOKUP(RIGHT(VLOOKUP(TRIM('DL 1'!G301),Data!$A:$B,2,0),1),Data!$L$23:$M$30,2,0),0)</f>
        <v>0</v>
      </c>
      <c r="P300">
        <f t="shared" si="50"/>
        <v>0</v>
      </c>
      <c r="Q300" s="7" t="b">
        <f t="shared" si="41"/>
        <v>0</v>
      </c>
      <c r="R300" s="27">
        <f>INCENTIVE!$E$8</f>
        <v>130000000</v>
      </c>
      <c r="S300">
        <f>'DL 1'!D301</f>
        <v>0</v>
      </c>
      <c r="T300" t="str">
        <f t="shared" si="42"/>
        <v>1</v>
      </c>
      <c r="V300" t="str">
        <f t="shared" si="43"/>
        <v>1</v>
      </c>
      <c r="W300">
        <f t="shared" si="44"/>
        <v>0.25</v>
      </c>
      <c r="X300" s="7">
        <f>'DL 1'!E301</f>
        <v>0</v>
      </c>
      <c r="Y300" s="69">
        <f>'DL 1'!G301</f>
        <v>0</v>
      </c>
      <c r="AC300" t="str">
        <f>IFERROR(VLOOKUP(Y300,Data!$G$65:$K$79,2,0) *X300,"")</f>
        <v/>
      </c>
      <c r="AD300" s="7">
        <f t="shared" si="45"/>
        <v>0</v>
      </c>
      <c r="AE300">
        <f>'DL 1'!F301</f>
        <v>0</v>
      </c>
      <c r="AF300" t="str">
        <f>IFERROR(VLOOKUP(Y300,Data!$G$65:$K$79,4,0),"")</f>
        <v/>
      </c>
      <c r="AG300" s="51" t="e">
        <f>#REF!</f>
        <v>#REF!</v>
      </c>
      <c r="AK300">
        <f t="shared" si="46"/>
        <v>0</v>
      </c>
      <c r="AL300">
        <f t="shared" si="47"/>
        <v>0</v>
      </c>
      <c r="AM300" s="70">
        <f t="shared" si="48"/>
        <v>0</v>
      </c>
      <c r="AN300" s="7" t="b">
        <f t="shared" si="49"/>
        <v>0</v>
      </c>
    </row>
    <row r="301" spans="1:40" x14ac:dyDescent="0.3">
      <c r="A301" s="50">
        <f>IF(D301="A",_xlfn.IFNA(INDEX(Data!$H$24:$J$28,MATCH('DL 1'!E302,Data!$G$24:$G$28,1),MATCH('DL 1'!D302,Data!$H$23:$J$23,1)),0),0)</f>
        <v>0</v>
      </c>
      <c r="B301">
        <f>IF('DL 1'!F302="Y",Q301,0)</f>
        <v>0</v>
      </c>
      <c r="C301" t="e">
        <f>_xlfn.IFNA(INDEX(Data!$H$24:$J$28,MATCH(#REF!,Data!$G$24:$G$28,1),MATCH(#REF!,Data!$H$23:$J$23,1)),0)</f>
        <v>#REF!</v>
      </c>
      <c r="D301" t="str">
        <f>RIGHT(TRIM('DL 1'!G302),1)</f>
        <v/>
      </c>
      <c r="E301" s="8">
        <f>'DL 1'!E302*'DL 1'!D302</f>
        <v>0</v>
      </c>
      <c r="F301" t="str">
        <f>_xlfn.IFNA(VLOOKUP(TRIM('DL 1'!G302),Data!$A:$C,3,0),"")</f>
        <v/>
      </c>
      <c r="G301" s="7">
        <f>'DL 1'!E302</f>
        <v>0</v>
      </c>
      <c r="H301" s="21">
        <f>_xlfn.IFNA(VLOOKUP(TRIM('DL 1'!G302),Data!$A:$D,4,0),0)</f>
        <v>0</v>
      </c>
      <c r="I301">
        <f>_xlfn.IFNA(INDEX(Data!$G$5:$K$10,MATCH('DL 1'!D302,Data!$F$5:$F$10,1),MATCH(_xlfn.SINGLE(#REF!),Data!$G$4:$K$4,1)),0)</f>
        <v>0</v>
      </c>
      <c r="J301">
        <f>_xlfn.IFNA(IF(VLOOKUP(TRIM('DL 1'!G302),Data!$A:$C,3,0)="ST1",H301*I301*G301,IF(VLOOKUP(TRIM('DL 1'!G302),Data!$A:$C,3,0)="IR0",H301*G301,MIN(H301:I301)*G301)),0)</f>
        <v>0</v>
      </c>
      <c r="K301" t="e">
        <f>_xlfn.IFNA(VLOOKUP(TRIM(#REF!),Data!$A:$D,4,0)*#REF!,0)</f>
        <v>#REF!</v>
      </c>
      <c r="L301">
        <f>IF(TRIM('DL 1'!G302)="EDCLNHT0IRNLI",20000,0)</f>
        <v>0</v>
      </c>
      <c r="M301">
        <f>IF(ISERROR(MATCH('DL 1'!A302,#REF!,0)),0,J301*2)</f>
        <v>0</v>
      </c>
      <c r="N301" t="e">
        <f>#REF!</f>
        <v>#REF!</v>
      </c>
      <c r="O301">
        <f>_xlfn.IFNA(VLOOKUP(RIGHT(VLOOKUP(TRIM('DL 1'!G302),Data!$A:$B,2,0),1),Data!$L$23:$M$30,2,0),0)</f>
        <v>0</v>
      </c>
      <c r="P301">
        <f t="shared" si="50"/>
        <v>0</v>
      </c>
      <c r="Q301" s="7" t="b">
        <f t="shared" si="41"/>
        <v>0</v>
      </c>
      <c r="R301" s="27">
        <f>INCENTIVE!$E$8</f>
        <v>130000000</v>
      </c>
      <c r="S301">
        <f>'DL 1'!D302</f>
        <v>0</v>
      </c>
      <c r="T301" t="str">
        <f t="shared" si="42"/>
        <v>1</v>
      </c>
      <c r="V301" t="str">
        <f t="shared" si="43"/>
        <v>1</v>
      </c>
      <c r="W301">
        <f t="shared" si="44"/>
        <v>0.25</v>
      </c>
      <c r="X301" s="7">
        <f>'DL 1'!E302</f>
        <v>0</v>
      </c>
      <c r="Y301" s="69">
        <f>'DL 1'!G302</f>
        <v>0</v>
      </c>
      <c r="AC301" t="str">
        <f>IFERROR(VLOOKUP(Y301,Data!$G$65:$K$79,2,0) *X301,"")</f>
        <v/>
      </c>
      <c r="AD301" s="7">
        <f t="shared" si="45"/>
        <v>0</v>
      </c>
      <c r="AE301">
        <f>'DL 1'!F302</f>
        <v>0</v>
      </c>
      <c r="AF301" t="str">
        <f>IFERROR(VLOOKUP(Y301,Data!$G$65:$K$79,4,0),"")</f>
        <v/>
      </c>
      <c r="AG301" s="51" t="e">
        <f>#REF!</f>
        <v>#REF!</v>
      </c>
      <c r="AK301">
        <f t="shared" si="46"/>
        <v>0</v>
      </c>
      <c r="AL301">
        <f t="shared" si="47"/>
        <v>0</v>
      </c>
      <c r="AM301" s="70">
        <f t="shared" si="48"/>
        <v>0</v>
      </c>
      <c r="AN301" s="7" t="b">
        <f t="shared" si="49"/>
        <v>0</v>
      </c>
    </row>
    <row r="302" spans="1:40" x14ac:dyDescent="0.3">
      <c r="A302" s="50">
        <f>IF(D302="A",_xlfn.IFNA(INDEX(Data!$H$24:$J$28,MATCH('DL 1'!E303,Data!$G$24:$G$28,1),MATCH('DL 1'!D303,Data!$H$23:$J$23,1)),0),0)</f>
        <v>0</v>
      </c>
      <c r="B302">
        <f>IF('DL 1'!F303="Y",Q302,0)</f>
        <v>0</v>
      </c>
      <c r="C302" t="e">
        <f>_xlfn.IFNA(INDEX(Data!$H$24:$J$28,MATCH(#REF!,Data!$G$24:$G$28,1),MATCH(#REF!,Data!$H$23:$J$23,1)),0)</f>
        <v>#REF!</v>
      </c>
      <c r="D302" t="str">
        <f>RIGHT(TRIM('DL 1'!G303),1)</f>
        <v/>
      </c>
      <c r="E302" s="8">
        <f>'DL 1'!E303*'DL 1'!D303</f>
        <v>0</v>
      </c>
      <c r="F302" t="str">
        <f>_xlfn.IFNA(VLOOKUP(TRIM('DL 1'!G303),Data!$A:$C,3,0),"")</f>
        <v/>
      </c>
      <c r="G302" s="7">
        <f>'DL 1'!E303</f>
        <v>0</v>
      </c>
      <c r="H302" s="21">
        <f>_xlfn.IFNA(VLOOKUP(TRIM('DL 1'!G303),Data!$A:$D,4,0),0)</f>
        <v>0</v>
      </c>
      <c r="I302">
        <f>_xlfn.IFNA(INDEX(Data!$G$5:$K$10,MATCH('DL 1'!D303,Data!$F$5:$F$10,1),MATCH(_xlfn.SINGLE(#REF!),Data!$G$4:$K$4,1)),0)</f>
        <v>0</v>
      </c>
      <c r="J302">
        <f>_xlfn.IFNA(IF(VLOOKUP(TRIM('DL 1'!G303),Data!$A:$C,3,0)="ST1",H302*I302*G302,IF(VLOOKUP(TRIM('DL 1'!G303),Data!$A:$C,3,0)="IR0",H302*G302,MIN(H302:I302)*G302)),0)</f>
        <v>0</v>
      </c>
      <c r="K302" t="e">
        <f>_xlfn.IFNA(VLOOKUP(TRIM(#REF!),Data!$A:$D,4,0)*#REF!,0)</f>
        <v>#REF!</v>
      </c>
      <c r="L302">
        <f>IF(TRIM('DL 1'!G303)="EDCLNHT0IRNLI",20000,0)</f>
        <v>0</v>
      </c>
      <c r="M302">
        <f>IF(ISERROR(MATCH('DL 1'!A303,#REF!,0)),0,J302*2)</f>
        <v>0</v>
      </c>
      <c r="N302" t="e">
        <f>#REF!</f>
        <v>#REF!</v>
      </c>
      <c r="O302">
        <f>_xlfn.IFNA(VLOOKUP(RIGHT(VLOOKUP(TRIM('DL 1'!G303),Data!$A:$B,2,0),1),Data!$L$23:$M$30,2,0),0)</f>
        <v>0</v>
      </c>
      <c r="P302">
        <f t="shared" si="50"/>
        <v>0</v>
      </c>
      <c r="Q302" s="7" t="b">
        <f t="shared" si="41"/>
        <v>0</v>
      </c>
      <c r="R302" s="27">
        <f>INCENTIVE!$E$8</f>
        <v>130000000</v>
      </c>
      <c r="S302">
        <f>'DL 1'!D303</f>
        <v>0</v>
      </c>
      <c r="T302" t="str">
        <f t="shared" si="42"/>
        <v>1</v>
      </c>
      <c r="V302" t="str">
        <f t="shared" si="43"/>
        <v>1</v>
      </c>
      <c r="W302">
        <f t="shared" si="44"/>
        <v>0.25</v>
      </c>
      <c r="X302" s="7">
        <f>'DL 1'!E303</f>
        <v>0</v>
      </c>
      <c r="Y302" s="69">
        <f>'DL 1'!G303</f>
        <v>0</v>
      </c>
      <c r="AC302" t="str">
        <f>IFERROR(VLOOKUP(Y302,Data!$G$65:$K$79,2,0) *X302,"")</f>
        <v/>
      </c>
      <c r="AD302" s="7">
        <f t="shared" si="45"/>
        <v>0</v>
      </c>
      <c r="AE302">
        <f>'DL 1'!F303</f>
        <v>0</v>
      </c>
      <c r="AF302" t="str">
        <f>IFERROR(VLOOKUP(Y302,Data!$G$65:$K$79,4,0),"")</f>
        <v/>
      </c>
      <c r="AG302" s="51" t="e">
        <f>#REF!</f>
        <v>#REF!</v>
      </c>
      <c r="AK302">
        <f t="shared" si="46"/>
        <v>0</v>
      </c>
      <c r="AL302">
        <f t="shared" si="47"/>
        <v>0</v>
      </c>
      <c r="AM302" s="70">
        <f t="shared" si="48"/>
        <v>0</v>
      </c>
      <c r="AN302" s="7" t="b">
        <f t="shared" si="49"/>
        <v>0</v>
      </c>
    </row>
    <row r="303" spans="1:40" x14ac:dyDescent="0.3">
      <c r="A303" s="50">
        <f>IF(D303="A",_xlfn.IFNA(INDEX(Data!$H$24:$J$28,MATCH('DL 1'!E304,Data!$G$24:$G$28,1),MATCH('DL 1'!D304,Data!$H$23:$J$23,1)),0),0)</f>
        <v>0</v>
      </c>
      <c r="B303">
        <f>IF('DL 1'!F304="Y",Q303,0)</f>
        <v>0</v>
      </c>
      <c r="C303" t="e">
        <f>_xlfn.IFNA(INDEX(Data!$H$24:$J$28,MATCH(#REF!,Data!$G$24:$G$28,1),MATCH(#REF!,Data!$H$23:$J$23,1)),0)</f>
        <v>#REF!</v>
      </c>
      <c r="D303" t="str">
        <f>RIGHT(TRIM('DL 1'!G304),1)</f>
        <v/>
      </c>
      <c r="E303" s="8">
        <f>'DL 1'!E304*'DL 1'!D304</f>
        <v>0</v>
      </c>
      <c r="F303" t="str">
        <f>_xlfn.IFNA(VLOOKUP(TRIM('DL 1'!G304),Data!$A:$C,3,0),"")</f>
        <v/>
      </c>
      <c r="G303" s="7">
        <f>'DL 1'!E304</f>
        <v>0</v>
      </c>
      <c r="H303" s="21">
        <f>_xlfn.IFNA(VLOOKUP(TRIM('DL 1'!G304),Data!$A:$D,4,0),0)</f>
        <v>0</v>
      </c>
      <c r="I303">
        <f>_xlfn.IFNA(INDEX(Data!$G$5:$K$10,MATCH('DL 1'!D304,Data!$F$5:$F$10,1),MATCH(_xlfn.SINGLE(#REF!),Data!$G$4:$K$4,1)),0)</f>
        <v>0</v>
      </c>
      <c r="J303">
        <f>_xlfn.IFNA(IF(VLOOKUP(TRIM('DL 1'!G304),Data!$A:$C,3,0)="ST1",H303*I303*G303,IF(VLOOKUP(TRIM('DL 1'!G304),Data!$A:$C,3,0)="IR0",H303*G303,MIN(H303:I303)*G303)),0)</f>
        <v>0</v>
      </c>
      <c r="K303" t="e">
        <f>_xlfn.IFNA(VLOOKUP(TRIM(#REF!),Data!$A:$D,4,0)*#REF!,0)</f>
        <v>#REF!</v>
      </c>
      <c r="L303">
        <f>IF(TRIM('DL 1'!G304)="EDCLNHT0IRNLI",20000,0)</f>
        <v>0</v>
      </c>
      <c r="M303">
        <f>IF(ISERROR(MATCH('DL 1'!A304,#REF!,0)),0,J303*2)</f>
        <v>0</v>
      </c>
      <c r="N303" t="e">
        <f>#REF!</f>
        <v>#REF!</v>
      </c>
      <c r="O303">
        <f>_xlfn.IFNA(VLOOKUP(RIGHT(VLOOKUP(TRIM('DL 1'!G304),Data!$A:$B,2,0),1),Data!$L$23:$M$30,2,0),0)</f>
        <v>0</v>
      </c>
      <c r="P303">
        <f t="shared" si="50"/>
        <v>0</v>
      </c>
      <c r="Q303" s="7" t="b">
        <f t="shared" si="41"/>
        <v>0</v>
      </c>
      <c r="R303" s="27">
        <f>INCENTIVE!$E$8</f>
        <v>130000000</v>
      </c>
      <c r="S303">
        <f>'DL 1'!D304</f>
        <v>0</v>
      </c>
      <c r="T303" t="str">
        <f t="shared" si="42"/>
        <v>1</v>
      </c>
      <c r="V303" t="str">
        <f t="shared" si="43"/>
        <v>1</v>
      </c>
      <c r="W303">
        <f t="shared" si="44"/>
        <v>0.25</v>
      </c>
      <c r="X303" s="7">
        <f>'DL 1'!E304</f>
        <v>0</v>
      </c>
      <c r="Y303" s="69">
        <f>'DL 1'!G304</f>
        <v>0</v>
      </c>
      <c r="AC303" t="str">
        <f>IFERROR(VLOOKUP(Y303,Data!$G$65:$K$79,2,0) *X303,"")</f>
        <v/>
      </c>
      <c r="AD303" s="7">
        <f t="shared" si="45"/>
        <v>0</v>
      </c>
      <c r="AE303">
        <f>'DL 1'!F304</f>
        <v>0</v>
      </c>
      <c r="AF303" t="str">
        <f>IFERROR(VLOOKUP(Y303,Data!$G$65:$K$79,4,0),"")</f>
        <v/>
      </c>
      <c r="AG303" s="51" t="e">
        <f>#REF!</f>
        <v>#REF!</v>
      </c>
      <c r="AK303">
        <f t="shared" si="46"/>
        <v>0</v>
      </c>
      <c r="AL303">
        <f t="shared" si="47"/>
        <v>0</v>
      </c>
      <c r="AM303" s="70">
        <f t="shared" si="48"/>
        <v>0</v>
      </c>
      <c r="AN303" s="7" t="b">
        <f t="shared" si="49"/>
        <v>0</v>
      </c>
    </row>
    <row r="304" spans="1:40" x14ac:dyDescent="0.3">
      <c r="A304" s="50">
        <f>IF(D304="A",_xlfn.IFNA(INDEX(Data!$H$24:$J$28,MATCH('DL 1'!E305,Data!$G$24:$G$28,1),MATCH('DL 1'!D305,Data!$H$23:$J$23,1)),0),0)</f>
        <v>0</v>
      </c>
      <c r="B304">
        <f>IF('DL 1'!F305="Y",Q304,0)</f>
        <v>0</v>
      </c>
      <c r="C304" t="e">
        <f>_xlfn.IFNA(INDEX(Data!$H$24:$J$28,MATCH(#REF!,Data!$G$24:$G$28,1),MATCH(#REF!,Data!$H$23:$J$23,1)),0)</f>
        <v>#REF!</v>
      </c>
      <c r="D304" t="str">
        <f>RIGHT(TRIM('DL 1'!G305),1)</f>
        <v/>
      </c>
      <c r="E304" s="8">
        <f>'DL 1'!E305*'DL 1'!D305</f>
        <v>0</v>
      </c>
      <c r="F304" t="str">
        <f>_xlfn.IFNA(VLOOKUP(TRIM('DL 1'!G305),Data!$A:$C,3,0),"")</f>
        <v/>
      </c>
      <c r="G304" s="7">
        <f>'DL 1'!E305</f>
        <v>0</v>
      </c>
      <c r="H304" s="21">
        <f>_xlfn.IFNA(VLOOKUP(TRIM('DL 1'!G305),Data!$A:$D,4,0),0)</f>
        <v>0</v>
      </c>
      <c r="I304">
        <f>_xlfn.IFNA(INDEX(Data!$G$5:$K$10,MATCH('DL 1'!D305,Data!$F$5:$F$10,1),MATCH(_xlfn.SINGLE(#REF!),Data!$G$4:$K$4,1)),0)</f>
        <v>0</v>
      </c>
      <c r="J304">
        <f>_xlfn.IFNA(IF(VLOOKUP(TRIM('DL 1'!G305),Data!$A:$C,3,0)="ST1",H304*I304*G304,IF(VLOOKUP(TRIM('DL 1'!G305),Data!$A:$C,3,0)="IR0",H304*G304,MIN(H304:I304)*G304)),0)</f>
        <v>0</v>
      </c>
      <c r="K304" t="e">
        <f>_xlfn.IFNA(VLOOKUP(TRIM(#REF!),Data!$A:$D,4,0)*#REF!,0)</f>
        <v>#REF!</v>
      </c>
      <c r="L304">
        <f>IF(TRIM('DL 1'!G305)="EDCLNHT0IRNLI",20000,0)</f>
        <v>0</v>
      </c>
      <c r="M304">
        <f>IF(ISERROR(MATCH('DL 1'!A305,#REF!,0)),0,J304*2)</f>
        <v>0</v>
      </c>
      <c r="N304" t="e">
        <f>#REF!</f>
        <v>#REF!</v>
      </c>
      <c r="O304">
        <f>_xlfn.IFNA(VLOOKUP(RIGHT(VLOOKUP(TRIM('DL 1'!G305),Data!$A:$B,2,0),1),Data!$L$23:$M$30,2,0),0)</f>
        <v>0</v>
      </c>
      <c r="P304">
        <f t="shared" si="50"/>
        <v>0</v>
      </c>
      <c r="Q304" s="7" t="b">
        <f t="shared" si="41"/>
        <v>0</v>
      </c>
      <c r="R304" s="27">
        <f>INCENTIVE!$E$8</f>
        <v>130000000</v>
      </c>
      <c r="S304">
        <f>'DL 1'!D305</f>
        <v>0</v>
      </c>
      <c r="T304" t="str">
        <f t="shared" si="42"/>
        <v>1</v>
      </c>
      <c r="V304" t="str">
        <f t="shared" si="43"/>
        <v>1</v>
      </c>
      <c r="W304">
        <f t="shared" si="44"/>
        <v>0.25</v>
      </c>
      <c r="X304" s="7">
        <f>'DL 1'!E305</f>
        <v>0</v>
      </c>
      <c r="Y304" s="69">
        <f>'DL 1'!G305</f>
        <v>0</v>
      </c>
      <c r="AC304" t="str">
        <f>IFERROR(VLOOKUP(Y304,Data!$G$65:$K$79,2,0) *X304,"")</f>
        <v/>
      </c>
      <c r="AD304" s="7">
        <f t="shared" si="45"/>
        <v>0</v>
      </c>
      <c r="AE304">
        <f>'DL 1'!F305</f>
        <v>0</v>
      </c>
      <c r="AF304" t="str">
        <f>IFERROR(VLOOKUP(Y304,Data!$G$65:$K$79,4,0),"")</f>
        <v/>
      </c>
      <c r="AG304" s="51" t="e">
        <f>#REF!</f>
        <v>#REF!</v>
      </c>
      <c r="AK304">
        <f t="shared" si="46"/>
        <v>0</v>
      </c>
      <c r="AL304">
        <f t="shared" si="47"/>
        <v>0</v>
      </c>
      <c r="AM304" s="70">
        <f t="shared" si="48"/>
        <v>0</v>
      </c>
      <c r="AN304" s="7" t="b">
        <f t="shared" si="49"/>
        <v>0</v>
      </c>
    </row>
    <row r="305" spans="1:40" x14ac:dyDescent="0.3">
      <c r="A305" s="50">
        <f>IF(D305="A",_xlfn.IFNA(INDEX(Data!$H$24:$J$28,MATCH('DL 1'!E306,Data!$G$24:$G$28,1),MATCH('DL 1'!D306,Data!$H$23:$J$23,1)),0),0)</f>
        <v>0</v>
      </c>
      <c r="B305">
        <f>IF('DL 1'!F306="Y",Q305,0)</f>
        <v>0</v>
      </c>
      <c r="C305" t="e">
        <f>_xlfn.IFNA(INDEX(Data!$H$24:$J$28,MATCH(#REF!,Data!$G$24:$G$28,1),MATCH(#REF!,Data!$H$23:$J$23,1)),0)</f>
        <v>#REF!</v>
      </c>
      <c r="D305" t="str">
        <f>RIGHT(TRIM('DL 1'!G306),1)</f>
        <v/>
      </c>
      <c r="E305" s="8">
        <f>'DL 1'!E306*'DL 1'!D306</f>
        <v>0</v>
      </c>
      <c r="F305" t="str">
        <f>_xlfn.IFNA(VLOOKUP(TRIM('DL 1'!G306),Data!$A:$C,3,0),"")</f>
        <v/>
      </c>
      <c r="G305" s="7">
        <f>'DL 1'!E306</f>
        <v>0</v>
      </c>
      <c r="H305" s="21">
        <f>_xlfn.IFNA(VLOOKUP(TRIM('DL 1'!G306),Data!$A:$D,4,0),0)</f>
        <v>0</v>
      </c>
      <c r="I305">
        <f>_xlfn.IFNA(INDEX(Data!$G$5:$K$10,MATCH('DL 1'!D306,Data!$F$5:$F$10,1),MATCH(_xlfn.SINGLE(#REF!),Data!$G$4:$K$4,1)),0)</f>
        <v>0</v>
      </c>
      <c r="J305">
        <f>_xlfn.IFNA(IF(VLOOKUP(TRIM('DL 1'!G306),Data!$A:$C,3,0)="ST1",H305*I305*G305,IF(VLOOKUP(TRIM('DL 1'!G306),Data!$A:$C,3,0)="IR0",H305*G305,MIN(H305:I305)*G305)),0)</f>
        <v>0</v>
      </c>
      <c r="K305" t="e">
        <f>_xlfn.IFNA(VLOOKUP(TRIM(#REF!),Data!$A:$D,4,0)*#REF!,0)</f>
        <v>#REF!</v>
      </c>
      <c r="L305">
        <f>IF(TRIM('DL 1'!G306)="EDCLNHT0IRNLI",20000,0)</f>
        <v>0</v>
      </c>
      <c r="M305">
        <f>IF(ISERROR(MATCH('DL 1'!A306,#REF!,0)),0,J305*2)</f>
        <v>0</v>
      </c>
      <c r="N305" t="e">
        <f>#REF!</f>
        <v>#REF!</v>
      </c>
      <c r="O305">
        <f>_xlfn.IFNA(VLOOKUP(RIGHT(VLOOKUP(TRIM('DL 1'!G306),Data!$A:$B,2,0),1),Data!$L$23:$M$30,2,0),0)</f>
        <v>0</v>
      </c>
      <c r="P305">
        <f t="shared" si="50"/>
        <v>0</v>
      </c>
      <c r="Q305" s="7" t="b">
        <f t="shared" si="41"/>
        <v>0</v>
      </c>
      <c r="R305" s="27">
        <f>INCENTIVE!$E$8</f>
        <v>130000000</v>
      </c>
      <c r="S305">
        <f>'DL 1'!D306</f>
        <v>0</v>
      </c>
      <c r="T305" t="str">
        <f t="shared" si="42"/>
        <v>1</v>
      </c>
      <c r="V305" t="str">
        <f t="shared" si="43"/>
        <v>1</v>
      </c>
      <c r="W305">
        <f t="shared" si="44"/>
        <v>0.25</v>
      </c>
      <c r="X305" s="7">
        <f>'DL 1'!E306</f>
        <v>0</v>
      </c>
      <c r="Y305" s="69">
        <f>'DL 1'!G306</f>
        <v>0</v>
      </c>
      <c r="AC305" t="str">
        <f>IFERROR(VLOOKUP(Y305,Data!$G$65:$K$79,2,0) *X305,"")</f>
        <v/>
      </c>
      <c r="AD305" s="7">
        <f t="shared" si="45"/>
        <v>0</v>
      </c>
      <c r="AE305">
        <f>'DL 1'!F306</f>
        <v>0</v>
      </c>
      <c r="AF305" t="str">
        <f>IFERROR(VLOOKUP(Y305,Data!$G$65:$K$79,4,0),"")</f>
        <v/>
      </c>
      <c r="AG305" s="51" t="e">
        <f>#REF!</f>
        <v>#REF!</v>
      </c>
      <c r="AK305">
        <f t="shared" si="46"/>
        <v>0</v>
      </c>
      <c r="AL305">
        <f t="shared" si="47"/>
        <v>0</v>
      </c>
      <c r="AM305" s="70">
        <f t="shared" si="48"/>
        <v>0</v>
      </c>
      <c r="AN305" s="7" t="b">
        <f t="shared" si="49"/>
        <v>0</v>
      </c>
    </row>
    <row r="306" spans="1:40" x14ac:dyDescent="0.3">
      <c r="A306" s="50">
        <f>IF(D306="A",_xlfn.IFNA(INDEX(Data!$H$24:$J$28,MATCH('DL 1'!E307,Data!$G$24:$G$28,1),MATCH('DL 1'!D307,Data!$H$23:$J$23,1)),0),0)</f>
        <v>0</v>
      </c>
      <c r="B306">
        <f>IF('DL 1'!F307="Y",Q306,0)</f>
        <v>0</v>
      </c>
      <c r="C306" t="e">
        <f>_xlfn.IFNA(INDEX(Data!$H$24:$J$28,MATCH(#REF!,Data!$G$24:$G$28,1),MATCH(#REF!,Data!$H$23:$J$23,1)),0)</f>
        <v>#REF!</v>
      </c>
      <c r="D306" t="str">
        <f>RIGHT(TRIM('DL 1'!G307),1)</f>
        <v/>
      </c>
      <c r="E306" s="8">
        <f>'DL 1'!E307*'DL 1'!D307</f>
        <v>0</v>
      </c>
      <c r="F306" t="str">
        <f>_xlfn.IFNA(VLOOKUP(TRIM('DL 1'!G307),Data!$A:$C,3,0),"")</f>
        <v/>
      </c>
      <c r="G306" s="7">
        <f>'DL 1'!E307</f>
        <v>0</v>
      </c>
      <c r="H306" s="21">
        <f>_xlfn.IFNA(VLOOKUP(TRIM('DL 1'!G307),Data!$A:$D,4,0),0)</f>
        <v>0</v>
      </c>
      <c r="I306">
        <f>_xlfn.IFNA(INDEX(Data!$G$5:$K$10,MATCH('DL 1'!D307,Data!$F$5:$F$10,1),MATCH(_xlfn.SINGLE(#REF!),Data!$G$4:$K$4,1)),0)</f>
        <v>0</v>
      </c>
      <c r="J306">
        <f>_xlfn.IFNA(IF(VLOOKUP(TRIM('DL 1'!G307),Data!$A:$C,3,0)="ST1",H306*I306*G306,IF(VLOOKUP(TRIM('DL 1'!G307),Data!$A:$C,3,0)="IR0",H306*G306,MIN(H306:I306)*G306)),0)</f>
        <v>0</v>
      </c>
      <c r="K306" t="e">
        <f>_xlfn.IFNA(VLOOKUP(TRIM(#REF!),Data!$A:$D,4,0)*#REF!,0)</f>
        <v>#REF!</v>
      </c>
      <c r="L306">
        <f>IF(TRIM('DL 1'!G307)="EDCLNHT0IRNLI",20000,0)</f>
        <v>0</v>
      </c>
      <c r="M306">
        <f>IF(ISERROR(MATCH('DL 1'!A307,#REF!,0)),0,J306*2)</f>
        <v>0</v>
      </c>
      <c r="N306" t="e">
        <f>#REF!</f>
        <v>#REF!</v>
      </c>
      <c r="O306">
        <f>_xlfn.IFNA(VLOOKUP(RIGHT(VLOOKUP(TRIM('DL 1'!G307),Data!$A:$B,2,0),1),Data!$L$23:$M$30,2,0),0)</f>
        <v>0</v>
      </c>
      <c r="P306">
        <f t="shared" si="50"/>
        <v>0</v>
      </c>
      <c r="Q306" s="7" t="b">
        <f t="shared" si="41"/>
        <v>0</v>
      </c>
      <c r="R306" s="27">
        <f>INCENTIVE!$E$8</f>
        <v>130000000</v>
      </c>
      <c r="S306">
        <f>'DL 1'!D307</f>
        <v>0</v>
      </c>
      <c r="T306" t="str">
        <f t="shared" si="42"/>
        <v>1</v>
      </c>
      <c r="V306" t="str">
        <f t="shared" si="43"/>
        <v>1</v>
      </c>
      <c r="W306">
        <f t="shared" si="44"/>
        <v>0.25</v>
      </c>
      <c r="X306" s="7">
        <f>'DL 1'!E307</f>
        <v>0</v>
      </c>
      <c r="Y306" s="69">
        <f>'DL 1'!G307</f>
        <v>0</v>
      </c>
      <c r="AC306" t="str">
        <f>IFERROR(VLOOKUP(Y306,Data!$G$65:$K$79,2,0) *X306,"")</f>
        <v/>
      </c>
      <c r="AD306" s="7">
        <f t="shared" si="45"/>
        <v>0</v>
      </c>
      <c r="AE306">
        <f>'DL 1'!F307</f>
        <v>0</v>
      </c>
      <c r="AF306" t="str">
        <f>IFERROR(VLOOKUP(Y306,Data!$G$65:$K$79,4,0),"")</f>
        <v/>
      </c>
      <c r="AG306" s="51" t="e">
        <f>#REF!</f>
        <v>#REF!</v>
      </c>
      <c r="AK306">
        <f t="shared" si="46"/>
        <v>0</v>
      </c>
      <c r="AL306">
        <f t="shared" si="47"/>
        <v>0</v>
      </c>
      <c r="AM306" s="70">
        <f t="shared" si="48"/>
        <v>0</v>
      </c>
      <c r="AN306" s="7" t="b">
        <f t="shared" si="49"/>
        <v>0</v>
      </c>
    </row>
    <row r="307" spans="1:40" x14ac:dyDescent="0.3">
      <c r="A307" s="50">
        <f>IF(D307="A",_xlfn.IFNA(INDEX(Data!$H$24:$J$28,MATCH('DL 1'!E308,Data!$G$24:$G$28,1),MATCH('DL 1'!D308,Data!$H$23:$J$23,1)),0),0)</f>
        <v>0</v>
      </c>
      <c r="B307">
        <f>IF('DL 1'!F308="Y",Q307,0)</f>
        <v>0</v>
      </c>
      <c r="C307" t="e">
        <f>_xlfn.IFNA(INDEX(Data!$H$24:$J$28,MATCH(#REF!,Data!$G$24:$G$28,1),MATCH(#REF!,Data!$H$23:$J$23,1)),0)</f>
        <v>#REF!</v>
      </c>
      <c r="D307" t="str">
        <f>RIGHT(TRIM('DL 1'!G308),1)</f>
        <v/>
      </c>
      <c r="E307" s="8">
        <f>'DL 1'!E308*'DL 1'!D308</f>
        <v>0</v>
      </c>
      <c r="F307" t="str">
        <f>_xlfn.IFNA(VLOOKUP(TRIM('DL 1'!G308),Data!$A:$C,3,0),"")</f>
        <v/>
      </c>
      <c r="G307" s="7">
        <f>'DL 1'!E308</f>
        <v>0</v>
      </c>
      <c r="H307" s="21">
        <f>_xlfn.IFNA(VLOOKUP(TRIM('DL 1'!G308),Data!$A:$D,4,0),0)</f>
        <v>0</v>
      </c>
      <c r="I307">
        <f>_xlfn.IFNA(INDEX(Data!$G$5:$K$10,MATCH('DL 1'!D308,Data!$F$5:$F$10,1),MATCH(_xlfn.SINGLE(#REF!),Data!$G$4:$K$4,1)),0)</f>
        <v>0</v>
      </c>
      <c r="J307">
        <f>_xlfn.IFNA(IF(VLOOKUP(TRIM('DL 1'!G308),Data!$A:$C,3,0)="ST1",H307*I307*G307,IF(VLOOKUP(TRIM('DL 1'!G308),Data!$A:$C,3,0)="IR0",H307*G307,MIN(H307:I307)*G307)),0)</f>
        <v>0</v>
      </c>
      <c r="K307" t="e">
        <f>_xlfn.IFNA(VLOOKUP(TRIM(#REF!),Data!$A:$D,4,0)*#REF!,0)</f>
        <v>#REF!</v>
      </c>
      <c r="L307">
        <f>IF(TRIM('DL 1'!G308)="EDCLNHT0IRNLI",20000,0)</f>
        <v>0</v>
      </c>
      <c r="M307">
        <f>IF(ISERROR(MATCH('DL 1'!A308,#REF!,0)),0,J307*2)</f>
        <v>0</v>
      </c>
      <c r="N307" t="e">
        <f>#REF!</f>
        <v>#REF!</v>
      </c>
      <c r="O307">
        <f>_xlfn.IFNA(VLOOKUP(RIGHT(VLOOKUP(TRIM('DL 1'!G308),Data!$A:$B,2,0),1),Data!$L$23:$M$30,2,0),0)</f>
        <v>0</v>
      </c>
      <c r="P307">
        <f t="shared" si="50"/>
        <v>0</v>
      </c>
      <c r="Q307" s="7" t="b">
        <f t="shared" si="41"/>
        <v>0</v>
      </c>
      <c r="R307" s="27">
        <f>INCENTIVE!$E$8</f>
        <v>130000000</v>
      </c>
      <c r="S307">
        <f>'DL 1'!D308</f>
        <v>0</v>
      </c>
      <c r="T307" t="str">
        <f t="shared" si="42"/>
        <v>1</v>
      </c>
      <c r="V307" t="str">
        <f t="shared" si="43"/>
        <v>1</v>
      </c>
      <c r="W307">
        <f t="shared" si="44"/>
        <v>0.25</v>
      </c>
      <c r="X307" s="7">
        <f>'DL 1'!E308</f>
        <v>0</v>
      </c>
      <c r="Y307" s="69">
        <f>'DL 1'!G308</f>
        <v>0</v>
      </c>
      <c r="AC307" t="str">
        <f>IFERROR(VLOOKUP(Y307,Data!$G$65:$K$79,2,0) *X307,"")</f>
        <v/>
      </c>
      <c r="AD307" s="7">
        <f t="shared" si="45"/>
        <v>0</v>
      </c>
      <c r="AE307">
        <f>'DL 1'!F308</f>
        <v>0</v>
      </c>
      <c r="AF307" t="str">
        <f>IFERROR(VLOOKUP(Y307,Data!$G$65:$K$79,4,0),"")</f>
        <v/>
      </c>
      <c r="AG307" s="51" t="e">
        <f>#REF!</f>
        <v>#REF!</v>
      </c>
      <c r="AK307">
        <f t="shared" si="46"/>
        <v>0</v>
      </c>
      <c r="AL307">
        <f t="shared" si="47"/>
        <v>0</v>
      </c>
      <c r="AM307" s="70">
        <f t="shared" si="48"/>
        <v>0</v>
      </c>
      <c r="AN307" s="7" t="b">
        <f t="shared" si="49"/>
        <v>0</v>
      </c>
    </row>
    <row r="308" spans="1:40" x14ac:dyDescent="0.3">
      <c r="A308" s="50">
        <f>IF(D308="A",_xlfn.IFNA(INDEX(Data!$H$24:$J$28,MATCH('DL 1'!E309,Data!$G$24:$G$28,1),MATCH('DL 1'!D309,Data!$H$23:$J$23,1)),0),0)</f>
        <v>0</v>
      </c>
      <c r="B308">
        <f>IF('DL 1'!F309="Y",Q308,0)</f>
        <v>0</v>
      </c>
      <c r="C308" t="e">
        <f>_xlfn.IFNA(INDEX(Data!$H$24:$J$28,MATCH(#REF!,Data!$G$24:$G$28,1),MATCH(#REF!,Data!$H$23:$J$23,1)),0)</f>
        <v>#REF!</v>
      </c>
      <c r="D308" t="str">
        <f>RIGHT(TRIM('DL 1'!G309),1)</f>
        <v/>
      </c>
      <c r="E308" s="8">
        <f>'DL 1'!E309*'DL 1'!D309</f>
        <v>0</v>
      </c>
      <c r="F308" t="str">
        <f>_xlfn.IFNA(VLOOKUP(TRIM('DL 1'!G309),Data!$A:$C,3,0),"")</f>
        <v/>
      </c>
      <c r="G308" s="7">
        <f>'DL 1'!E309</f>
        <v>0</v>
      </c>
      <c r="H308" s="21">
        <f>_xlfn.IFNA(VLOOKUP(TRIM('DL 1'!G309),Data!$A:$D,4,0),0)</f>
        <v>0</v>
      </c>
      <c r="I308">
        <f>_xlfn.IFNA(INDEX(Data!$G$5:$K$10,MATCH('DL 1'!D309,Data!$F$5:$F$10,1),MATCH(_xlfn.SINGLE(#REF!),Data!$G$4:$K$4,1)),0)</f>
        <v>0</v>
      </c>
      <c r="J308">
        <f>_xlfn.IFNA(IF(VLOOKUP(TRIM('DL 1'!G309),Data!$A:$C,3,0)="ST1",H308*I308*G308,IF(VLOOKUP(TRIM('DL 1'!G309),Data!$A:$C,3,0)="IR0",H308*G308,MIN(H308:I308)*G308)),0)</f>
        <v>0</v>
      </c>
      <c r="K308" t="e">
        <f>_xlfn.IFNA(VLOOKUP(TRIM(#REF!),Data!$A:$D,4,0)*#REF!,0)</f>
        <v>#REF!</v>
      </c>
      <c r="L308">
        <f>IF(TRIM('DL 1'!G309)="EDCLNHT0IRNLI",20000,0)</f>
        <v>0</v>
      </c>
      <c r="M308">
        <f>IF(ISERROR(MATCH('DL 1'!A309,#REF!,0)),0,J308*2)</f>
        <v>0</v>
      </c>
      <c r="N308" t="e">
        <f>#REF!</f>
        <v>#REF!</v>
      </c>
      <c r="O308">
        <f>_xlfn.IFNA(VLOOKUP(RIGHT(VLOOKUP(TRIM('DL 1'!G309),Data!$A:$B,2,0),1),Data!$L$23:$M$30,2,0),0)</f>
        <v>0</v>
      </c>
      <c r="P308">
        <f t="shared" si="50"/>
        <v>0</v>
      </c>
      <c r="Q308" s="7" t="b">
        <f t="shared" si="41"/>
        <v>0</v>
      </c>
      <c r="R308" s="27">
        <f>INCENTIVE!$E$8</f>
        <v>130000000</v>
      </c>
      <c r="S308">
        <f>'DL 1'!D309</f>
        <v>0</v>
      </c>
      <c r="T308" t="str">
        <f t="shared" si="42"/>
        <v>1</v>
      </c>
      <c r="V308" t="str">
        <f t="shared" si="43"/>
        <v>1</v>
      </c>
      <c r="W308">
        <f t="shared" si="44"/>
        <v>0.25</v>
      </c>
      <c r="X308" s="7">
        <f>'DL 1'!E309</f>
        <v>0</v>
      </c>
      <c r="Y308" s="69">
        <f>'DL 1'!G309</f>
        <v>0</v>
      </c>
      <c r="AC308" t="str">
        <f>IFERROR(VLOOKUP(Y308,Data!$G$65:$K$79,2,0) *X308,"")</f>
        <v/>
      </c>
      <c r="AD308" s="7">
        <f t="shared" si="45"/>
        <v>0</v>
      </c>
      <c r="AE308">
        <f>'DL 1'!F309</f>
        <v>0</v>
      </c>
      <c r="AF308" t="str">
        <f>IFERROR(VLOOKUP(Y308,Data!$G$65:$K$79,4,0),"")</f>
        <v/>
      </c>
      <c r="AG308" s="51" t="e">
        <f>#REF!</f>
        <v>#REF!</v>
      </c>
      <c r="AK308">
        <f t="shared" si="46"/>
        <v>0</v>
      </c>
      <c r="AL308">
        <f t="shared" si="47"/>
        <v>0</v>
      </c>
      <c r="AM308" s="70">
        <f t="shared" si="48"/>
        <v>0</v>
      </c>
      <c r="AN308" s="7" t="b">
        <f t="shared" si="49"/>
        <v>0</v>
      </c>
    </row>
    <row r="309" spans="1:40" x14ac:dyDescent="0.3">
      <c r="A309" s="50">
        <f>IF(D309="A",_xlfn.IFNA(INDEX(Data!$H$24:$J$28,MATCH('DL 1'!E310,Data!$G$24:$G$28,1),MATCH('DL 1'!D310,Data!$H$23:$J$23,1)),0),0)</f>
        <v>0</v>
      </c>
      <c r="B309">
        <f>IF('DL 1'!F310="Y",Q309,0)</f>
        <v>0</v>
      </c>
      <c r="C309" t="e">
        <f>_xlfn.IFNA(INDEX(Data!$H$24:$J$28,MATCH(#REF!,Data!$G$24:$G$28,1),MATCH(#REF!,Data!$H$23:$J$23,1)),0)</f>
        <v>#REF!</v>
      </c>
      <c r="D309" t="str">
        <f>RIGHT(TRIM('DL 1'!G310),1)</f>
        <v/>
      </c>
      <c r="E309" s="8">
        <f>'DL 1'!E310*'DL 1'!D310</f>
        <v>0</v>
      </c>
      <c r="F309" t="str">
        <f>_xlfn.IFNA(VLOOKUP(TRIM('DL 1'!G310),Data!$A:$C,3,0),"")</f>
        <v/>
      </c>
      <c r="G309" s="7">
        <f>'DL 1'!E310</f>
        <v>0</v>
      </c>
      <c r="H309" s="21">
        <f>_xlfn.IFNA(VLOOKUP(TRIM('DL 1'!G310),Data!$A:$D,4,0),0)</f>
        <v>0</v>
      </c>
      <c r="I309">
        <f>_xlfn.IFNA(INDEX(Data!$G$5:$K$10,MATCH('DL 1'!D310,Data!$F$5:$F$10,1),MATCH(_xlfn.SINGLE(#REF!),Data!$G$4:$K$4,1)),0)</f>
        <v>0</v>
      </c>
      <c r="J309">
        <f>_xlfn.IFNA(IF(VLOOKUP(TRIM('DL 1'!G310),Data!$A:$C,3,0)="ST1",H309*I309*G309,IF(VLOOKUP(TRIM('DL 1'!G310),Data!$A:$C,3,0)="IR0",H309*G309,MIN(H309:I309)*G309)),0)</f>
        <v>0</v>
      </c>
      <c r="K309" t="e">
        <f>_xlfn.IFNA(VLOOKUP(TRIM(#REF!),Data!$A:$D,4,0)*#REF!,0)</f>
        <v>#REF!</v>
      </c>
      <c r="L309">
        <f>IF(TRIM('DL 1'!G310)="EDCLNHT0IRNLI",20000,0)</f>
        <v>0</v>
      </c>
      <c r="M309">
        <f>IF(ISERROR(MATCH('DL 1'!A310,#REF!,0)),0,J309*2)</f>
        <v>0</v>
      </c>
      <c r="N309" t="e">
        <f>#REF!</f>
        <v>#REF!</v>
      </c>
      <c r="O309">
        <f>_xlfn.IFNA(VLOOKUP(RIGHT(VLOOKUP(TRIM('DL 1'!G310),Data!$A:$B,2,0),1),Data!$L$23:$M$30,2,0),0)</f>
        <v>0</v>
      </c>
      <c r="P309">
        <f t="shared" si="50"/>
        <v>0</v>
      </c>
      <c r="Q309" s="7" t="b">
        <f t="shared" si="41"/>
        <v>0</v>
      </c>
      <c r="R309" s="27">
        <f>INCENTIVE!$E$8</f>
        <v>130000000</v>
      </c>
      <c r="S309">
        <f>'DL 1'!D310</f>
        <v>0</v>
      </c>
      <c r="T309" t="str">
        <f t="shared" si="42"/>
        <v>1</v>
      </c>
      <c r="V309" t="str">
        <f t="shared" si="43"/>
        <v>1</v>
      </c>
      <c r="W309">
        <f t="shared" si="44"/>
        <v>0.25</v>
      </c>
      <c r="X309" s="7">
        <f>'DL 1'!E310</f>
        <v>0</v>
      </c>
      <c r="Y309" s="69">
        <f>'DL 1'!G310</f>
        <v>0</v>
      </c>
      <c r="AC309" t="str">
        <f>IFERROR(VLOOKUP(Y309,Data!$G$65:$K$79,2,0) *X309,"")</f>
        <v/>
      </c>
      <c r="AD309" s="7">
        <f t="shared" si="45"/>
        <v>0</v>
      </c>
      <c r="AE309">
        <f>'DL 1'!F310</f>
        <v>0</v>
      </c>
      <c r="AF309" t="str">
        <f>IFERROR(VLOOKUP(Y309,Data!$G$65:$K$79,4,0),"")</f>
        <v/>
      </c>
      <c r="AG309" s="51" t="e">
        <f>#REF!</f>
        <v>#REF!</v>
      </c>
      <c r="AK309">
        <f t="shared" si="46"/>
        <v>0</v>
      </c>
      <c r="AL309">
        <f t="shared" si="47"/>
        <v>0</v>
      </c>
      <c r="AM309" s="70">
        <f t="shared" si="48"/>
        <v>0</v>
      </c>
      <c r="AN309" s="7" t="b">
        <f t="shared" si="49"/>
        <v>0</v>
      </c>
    </row>
    <row r="310" spans="1:40" x14ac:dyDescent="0.3">
      <c r="A310" s="50">
        <f>IF(D310="A",_xlfn.IFNA(INDEX(Data!$H$24:$J$28,MATCH('DL 1'!E311,Data!$G$24:$G$28,1),MATCH('DL 1'!D311,Data!$H$23:$J$23,1)),0),0)</f>
        <v>0</v>
      </c>
      <c r="B310">
        <f>IF('DL 1'!F311="Y",Q310,0)</f>
        <v>0</v>
      </c>
      <c r="C310" t="e">
        <f>_xlfn.IFNA(INDEX(Data!$H$24:$J$28,MATCH(#REF!,Data!$G$24:$G$28,1),MATCH(#REF!,Data!$H$23:$J$23,1)),0)</f>
        <v>#REF!</v>
      </c>
      <c r="D310" t="str">
        <f>RIGHT(TRIM('DL 1'!G311),1)</f>
        <v/>
      </c>
      <c r="E310" s="8">
        <f>'DL 1'!E311*'DL 1'!D311</f>
        <v>0</v>
      </c>
      <c r="F310" t="str">
        <f>_xlfn.IFNA(VLOOKUP(TRIM('DL 1'!G311),Data!$A:$C,3,0),"")</f>
        <v/>
      </c>
      <c r="G310" s="7">
        <f>'DL 1'!E311</f>
        <v>0</v>
      </c>
      <c r="H310" s="21">
        <f>_xlfn.IFNA(VLOOKUP(TRIM('DL 1'!G311),Data!$A:$D,4,0),0)</f>
        <v>0</v>
      </c>
      <c r="I310">
        <f>_xlfn.IFNA(INDEX(Data!$G$5:$K$10,MATCH('DL 1'!D311,Data!$F$5:$F$10,1),MATCH(_xlfn.SINGLE(#REF!),Data!$G$4:$K$4,1)),0)</f>
        <v>0</v>
      </c>
      <c r="J310">
        <f>_xlfn.IFNA(IF(VLOOKUP(TRIM('DL 1'!G311),Data!$A:$C,3,0)="ST1",H310*I310*G310,IF(VLOOKUP(TRIM('DL 1'!G311),Data!$A:$C,3,0)="IR0",H310*G310,MIN(H310:I310)*G310)),0)</f>
        <v>0</v>
      </c>
      <c r="K310" t="e">
        <f>_xlfn.IFNA(VLOOKUP(TRIM(#REF!),Data!$A:$D,4,0)*#REF!,0)</f>
        <v>#REF!</v>
      </c>
      <c r="L310">
        <f>IF(TRIM('DL 1'!G311)="EDCLNHT0IRNLI",20000,0)</f>
        <v>0</v>
      </c>
      <c r="M310">
        <f>IF(ISERROR(MATCH('DL 1'!A311,#REF!,0)),0,J310*2)</f>
        <v>0</v>
      </c>
      <c r="N310" t="e">
        <f>#REF!</f>
        <v>#REF!</v>
      </c>
      <c r="O310">
        <f>_xlfn.IFNA(VLOOKUP(RIGHT(VLOOKUP(TRIM('DL 1'!G311),Data!$A:$B,2,0),1),Data!$L$23:$M$30,2,0),0)</f>
        <v>0</v>
      </c>
      <c r="P310">
        <f t="shared" si="50"/>
        <v>0</v>
      </c>
      <c r="Q310" s="7" t="b">
        <f t="shared" si="41"/>
        <v>0</v>
      </c>
      <c r="R310" s="27">
        <f>INCENTIVE!$E$8</f>
        <v>130000000</v>
      </c>
      <c r="S310">
        <f>'DL 1'!D311</f>
        <v>0</v>
      </c>
      <c r="T310" t="str">
        <f t="shared" si="42"/>
        <v>1</v>
      </c>
      <c r="V310" t="str">
        <f t="shared" si="43"/>
        <v>1</v>
      </c>
      <c r="W310">
        <f t="shared" si="44"/>
        <v>0.25</v>
      </c>
      <c r="X310" s="7">
        <f>'DL 1'!E311</f>
        <v>0</v>
      </c>
      <c r="Y310" s="69">
        <f>'DL 1'!G311</f>
        <v>0</v>
      </c>
      <c r="AC310" t="str">
        <f>IFERROR(VLOOKUP(Y310,Data!$G$65:$K$79,2,0) *X310,"")</f>
        <v/>
      </c>
      <c r="AD310" s="7">
        <f t="shared" si="45"/>
        <v>0</v>
      </c>
      <c r="AE310">
        <f>'DL 1'!F311</f>
        <v>0</v>
      </c>
      <c r="AF310" t="str">
        <f>IFERROR(VLOOKUP(Y310,Data!$G$65:$K$79,4,0),"")</f>
        <v/>
      </c>
      <c r="AG310" s="51" t="e">
        <f>#REF!</f>
        <v>#REF!</v>
      </c>
      <c r="AK310">
        <f t="shared" si="46"/>
        <v>0</v>
      </c>
      <c r="AL310">
        <f t="shared" si="47"/>
        <v>0</v>
      </c>
      <c r="AM310" s="70">
        <f t="shared" si="48"/>
        <v>0</v>
      </c>
      <c r="AN310" s="7" t="b">
        <f t="shared" si="49"/>
        <v>0</v>
      </c>
    </row>
    <row r="311" spans="1:40" x14ac:dyDescent="0.3">
      <c r="A311" s="50">
        <f>IF(D311="A",_xlfn.IFNA(INDEX(Data!$H$24:$J$28,MATCH('DL 1'!E312,Data!$G$24:$G$28,1),MATCH('DL 1'!D312,Data!$H$23:$J$23,1)),0),0)</f>
        <v>0</v>
      </c>
      <c r="B311">
        <f>IF('DL 1'!F312="Y",Q311,0)</f>
        <v>0</v>
      </c>
      <c r="C311" t="e">
        <f>_xlfn.IFNA(INDEX(Data!$H$24:$J$28,MATCH(#REF!,Data!$G$24:$G$28,1),MATCH(#REF!,Data!$H$23:$J$23,1)),0)</f>
        <v>#REF!</v>
      </c>
      <c r="D311" t="str">
        <f>RIGHT(TRIM('DL 1'!G312),1)</f>
        <v/>
      </c>
      <c r="E311" s="8">
        <f>'DL 1'!E312*'DL 1'!D312</f>
        <v>0</v>
      </c>
      <c r="F311" t="str">
        <f>_xlfn.IFNA(VLOOKUP(TRIM('DL 1'!G312),Data!$A:$C,3,0),"")</f>
        <v/>
      </c>
      <c r="G311" s="7">
        <f>'DL 1'!E312</f>
        <v>0</v>
      </c>
      <c r="H311" s="21">
        <f>_xlfn.IFNA(VLOOKUP(TRIM('DL 1'!G312),Data!$A:$D,4,0),0)</f>
        <v>0</v>
      </c>
      <c r="I311">
        <f>_xlfn.IFNA(INDEX(Data!$G$5:$K$10,MATCH('DL 1'!D312,Data!$F$5:$F$10,1),MATCH(_xlfn.SINGLE(#REF!),Data!$G$4:$K$4,1)),0)</f>
        <v>0</v>
      </c>
      <c r="J311">
        <f>_xlfn.IFNA(IF(VLOOKUP(TRIM('DL 1'!G312),Data!$A:$C,3,0)="ST1",H311*I311*G311,IF(VLOOKUP(TRIM('DL 1'!G312),Data!$A:$C,3,0)="IR0",H311*G311,MIN(H311:I311)*G311)),0)</f>
        <v>0</v>
      </c>
      <c r="K311" t="e">
        <f>_xlfn.IFNA(VLOOKUP(TRIM(#REF!),Data!$A:$D,4,0)*#REF!,0)</f>
        <v>#REF!</v>
      </c>
      <c r="L311">
        <f>IF(TRIM('DL 1'!G312)="EDCLNHT0IRNLI",20000,0)</f>
        <v>0</v>
      </c>
      <c r="M311">
        <f>IF(ISERROR(MATCH('DL 1'!A312,#REF!,0)),0,J311*2)</f>
        <v>0</v>
      </c>
      <c r="N311" t="e">
        <f>#REF!</f>
        <v>#REF!</v>
      </c>
      <c r="O311">
        <f>_xlfn.IFNA(VLOOKUP(RIGHT(VLOOKUP(TRIM('DL 1'!G312),Data!$A:$B,2,0),1),Data!$L$23:$M$30,2,0),0)</f>
        <v>0</v>
      </c>
      <c r="P311">
        <f t="shared" si="50"/>
        <v>0</v>
      </c>
      <c r="Q311" s="7" t="b">
        <f t="shared" si="41"/>
        <v>0</v>
      </c>
      <c r="R311" s="27">
        <f>INCENTIVE!$E$8</f>
        <v>130000000</v>
      </c>
      <c r="S311">
        <f>'DL 1'!D312</f>
        <v>0</v>
      </c>
      <c r="T311" t="str">
        <f t="shared" si="42"/>
        <v>1</v>
      </c>
      <c r="V311" t="str">
        <f t="shared" si="43"/>
        <v>1</v>
      </c>
      <c r="W311">
        <f t="shared" si="44"/>
        <v>0.25</v>
      </c>
      <c r="X311" s="7">
        <f>'DL 1'!E312</f>
        <v>0</v>
      </c>
      <c r="Y311" s="69">
        <f>'DL 1'!G312</f>
        <v>0</v>
      </c>
      <c r="AC311" t="str">
        <f>IFERROR(VLOOKUP(Y311,Data!$G$65:$K$79,2,0) *X311,"")</f>
        <v/>
      </c>
      <c r="AD311" s="7">
        <f t="shared" si="45"/>
        <v>0</v>
      </c>
      <c r="AE311">
        <f>'DL 1'!F312</f>
        <v>0</v>
      </c>
      <c r="AF311" t="str">
        <f>IFERROR(VLOOKUP(Y311,Data!$G$65:$K$79,4,0),"")</f>
        <v/>
      </c>
      <c r="AG311" s="51" t="e">
        <f>#REF!</f>
        <v>#REF!</v>
      </c>
      <c r="AK311">
        <f t="shared" si="46"/>
        <v>0</v>
      </c>
      <c r="AL311">
        <f t="shared" si="47"/>
        <v>0</v>
      </c>
      <c r="AM311" s="70">
        <f t="shared" si="48"/>
        <v>0</v>
      </c>
      <c r="AN311" s="7" t="b">
        <f t="shared" si="49"/>
        <v>0</v>
      </c>
    </row>
    <row r="312" spans="1:40" x14ac:dyDescent="0.3">
      <c r="A312" s="50">
        <f>IF(D312="A",_xlfn.IFNA(INDEX(Data!$H$24:$J$28,MATCH('DL 1'!E313,Data!$G$24:$G$28,1),MATCH('DL 1'!D313,Data!$H$23:$J$23,1)),0),0)</f>
        <v>0</v>
      </c>
      <c r="B312">
        <f>IF('DL 1'!F313="Y",Q312,0)</f>
        <v>0</v>
      </c>
      <c r="C312" t="e">
        <f>_xlfn.IFNA(INDEX(Data!$H$24:$J$28,MATCH(#REF!,Data!$G$24:$G$28,1),MATCH(#REF!,Data!$H$23:$J$23,1)),0)</f>
        <v>#REF!</v>
      </c>
      <c r="D312" t="str">
        <f>RIGHT(TRIM('DL 1'!G313),1)</f>
        <v/>
      </c>
      <c r="E312" s="8">
        <f>'DL 1'!E313*'DL 1'!D313</f>
        <v>0</v>
      </c>
      <c r="F312" t="str">
        <f>_xlfn.IFNA(VLOOKUP(TRIM('DL 1'!G313),Data!$A:$C,3,0),"")</f>
        <v/>
      </c>
      <c r="G312" s="7">
        <f>'DL 1'!E313</f>
        <v>0</v>
      </c>
      <c r="H312" s="21">
        <f>_xlfn.IFNA(VLOOKUP(TRIM('DL 1'!G313),Data!$A:$D,4,0),0)</f>
        <v>0</v>
      </c>
      <c r="I312">
        <f>_xlfn.IFNA(INDEX(Data!$G$5:$K$10,MATCH('DL 1'!D313,Data!$F$5:$F$10,1),MATCH(_xlfn.SINGLE(#REF!),Data!$G$4:$K$4,1)),0)</f>
        <v>0</v>
      </c>
      <c r="J312">
        <f>_xlfn.IFNA(IF(VLOOKUP(TRIM('DL 1'!G313),Data!$A:$C,3,0)="ST1",H312*I312*G312,IF(VLOOKUP(TRIM('DL 1'!G313),Data!$A:$C,3,0)="IR0",H312*G312,MIN(H312:I312)*G312)),0)</f>
        <v>0</v>
      </c>
      <c r="K312" t="e">
        <f>_xlfn.IFNA(VLOOKUP(TRIM(#REF!),Data!$A:$D,4,0)*#REF!,0)</f>
        <v>#REF!</v>
      </c>
      <c r="L312">
        <f>IF(TRIM('DL 1'!G313)="EDCLNHT0IRNLI",20000,0)</f>
        <v>0</v>
      </c>
      <c r="M312">
        <f>IF(ISERROR(MATCH('DL 1'!A313,#REF!,0)),0,J312*2)</f>
        <v>0</v>
      </c>
      <c r="N312" t="e">
        <f>#REF!</f>
        <v>#REF!</v>
      </c>
      <c r="O312">
        <f>_xlfn.IFNA(VLOOKUP(RIGHT(VLOOKUP(TRIM('DL 1'!G313),Data!$A:$B,2,0),1),Data!$L$23:$M$30,2,0),0)</f>
        <v>0</v>
      </c>
      <c r="P312">
        <f t="shared" si="50"/>
        <v>0</v>
      </c>
      <c r="Q312" s="7" t="b">
        <f t="shared" si="41"/>
        <v>0</v>
      </c>
      <c r="R312" s="27">
        <f>INCENTIVE!$E$8</f>
        <v>130000000</v>
      </c>
      <c r="S312">
        <f>'DL 1'!D313</f>
        <v>0</v>
      </c>
      <c r="T312" t="str">
        <f t="shared" si="42"/>
        <v>1</v>
      </c>
      <c r="V312" t="str">
        <f t="shared" si="43"/>
        <v>1</v>
      </c>
      <c r="W312">
        <f t="shared" si="44"/>
        <v>0.25</v>
      </c>
      <c r="X312" s="7">
        <f>'DL 1'!E313</f>
        <v>0</v>
      </c>
      <c r="Y312" s="69">
        <f>'DL 1'!G313</f>
        <v>0</v>
      </c>
      <c r="AC312" t="str">
        <f>IFERROR(VLOOKUP(Y312,Data!$G$65:$K$79,2,0) *X312,"")</f>
        <v/>
      </c>
      <c r="AD312" s="7">
        <f t="shared" si="45"/>
        <v>0</v>
      </c>
      <c r="AE312">
        <f>'DL 1'!F313</f>
        <v>0</v>
      </c>
      <c r="AF312" t="str">
        <f>IFERROR(VLOOKUP(Y312,Data!$G$65:$K$79,4,0),"")</f>
        <v/>
      </c>
      <c r="AG312" s="51" t="e">
        <f>#REF!</f>
        <v>#REF!</v>
      </c>
      <c r="AK312">
        <f t="shared" si="46"/>
        <v>0</v>
      </c>
      <c r="AL312">
        <f t="shared" si="47"/>
        <v>0</v>
      </c>
      <c r="AM312" s="70">
        <f t="shared" si="48"/>
        <v>0</v>
      </c>
      <c r="AN312" s="7" t="b">
        <f t="shared" si="49"/>
        <v>0</v>
      </c>
    </row>
    <row r="313" spans="1:40" x14ac:dyDescent="0.3">
      <c r="A313" s="50">
        <f>IF(D313="A",_xlfn.IFNA(INDEX(Data!$H$24:$J$28,MATCH('DL 1'!E314,Data!$G$24:$G$28,1),MATCH('DL 1'!D314,Data!$H$23:$J$23,1)),0),0)</f>
        <v>0</v>
      </c>
      <c r="B313">
        <f>IF('DL 1'!F314="Y",Q313,0)</f>
        <v>0</v>
      </c>
      <c r="C313" t="e">
        <f>_xlfn.IFNA(INDEX(Data!$H$24:$J$28,MATCH(#REF!,Data!$G$24:$G$28,1),MATCH(#REF!,Data!$H$23:$J$23,1)),0)</f>
        <v>#REF!</v>
      </c>
      <c r="D313" t="str">
        <f>RIGHT(TRIM('DL 1'!G314),1)</f>
        <v/>
      </c>
      <c r="E313" s="8">
        <f>'DL 1'!E314*'DL 1'!D314</f>
        <v>0</v>
      </c>
      <c r="F313" t="str">
        <f>_xlfn.IFNA(VLOOKUP(TRIM('DL 1'!G314),Data!$A:$C,3,0),"")</f>
        <v/>
      </c>
      <c r="G313" s="7">
        <f>'DL 1'!E314</f>
        <v>0</v>
      </c>
      <c r="H313" s="21">
        <f>_xlfn.IFNA(VLOOKUP(TRIM('DL 1'!G314),Data!$A:$D,4,0),0)</f>
        <v>0</v>
      </c>
      <c r="I313">
        <f>_xlfn.IFNA(INDEX(Data!$G$5:$K$10,MATCH('DL 1'!D314,Data!$F$5:$F$10,1),MATCH(_xlfn.SINGLE(#REF!),Data!$G$4:$K$4,1)),0)</f>
        <v>0</v>
      </c>
      <c r="J313">
        <f>_xlfn.IFNA(IF(VLOOKUP(TRIM('DL 1'!G314),Data!$A:$C,3,0)="ST1",H313*I313*G313,IF(VLOOKUP(TRIM('DL 1'!G314),Data!$A:$C,3,0)="IR0",H313*G313,MIN(H313:I313)*G313)),0)</f>
        <v>0</v>
      </c>
      <c r="K313" t="e">
        <f>_xlfn.IFNA(VLOOKUP(TRIM(#REF!),Data!$A:$D,4,0)*#REF!,0)</f>
        <v>#REF!</v>
      </c>
      <c r="L313">
        <f>IF(TRIM('DL 1'!G314)="EDCLNHT0IRNLI",20000,0)</f>
        <v>0</v>
      </c>
      <c r="M313">
        <f>IF(ISERROR(MATCH('DL 1'!A314,#REF!,0)),0,J313*2)</f>
        <v>0</v>
      </c>
      <c r="N313" t="e">
        <f>#REF!</f>
        <v>#REF!</v>
      </c>
      <c r="O313">
        <f>_xlfn.IFNA(VLOOKUP(RIGHT(VLOOKUP(TRIM('DL 1'!G314),Data!$A:$B,2,0),1),Data!$L$23:$M$30,2,0),0)</f>
        <v>0</v>
      </c>
      <c r="P313">
        <f t="shared" si="50"/>
        <v>0</v>
      </c>
      <c r="Q313" s="7" t="b">
        <f t="shared" si="41"/>
        <v>0</v>
      </c>
      <c r="R313" s="27">
        <f>INCENTIVE!$E$8</f>
        <v>130000000</v>
      </c>
      <c r="S313">
        <f>'DL 1'!D314</f>
        <v>0</v>
      </c>
      <c r="T313" t="str">
        <f t="shared" si="42"/>
        <v>1</v>
      </c>
      <c r="V313" t="str">
        <f t="shared" si="43"/>
        <v>1</v>
      </c>
      <c r="W313">
        <f t="shared" si="44"/>
        <v>0.25</v>
      </c>
      <c r="X313" s="7">
        <f>'DL 1'!E314</f>
        <v>0</v>
      </c>
      <c r="Y313" s="69">
        <f>'DL 1'!G314</f>
        <v>0</v>
      </c>
      <c r="AC313" t="str">
        <f>IFERROR(VLOOKUP(Y313,Data!$G$65:$K$79,2,0) *X313,"")</f>
        <v/>
      </c>
      <c r="AD313" s="7">
        <f t="shared" si="45"/>
        <v>0</v>
      </c>
      <c r="AE313">
        <f>'DL 1'!F314</f>
        <v>0</v>
      </c>
      <c r="AF313" t="str">
        <f>IFERROR(VLOOKUP(Y313,Data!$G$65:$K$79,4,0),"")</f>
        <v/>
      </c>
      <c r="AG313" s="51" t="e">
        <f>#REF!</f>
        <v>#REF!</v>
      </c>
      <c r="AK313">
        <f t="shared" si="46"/>
        <v>0</v>
      </c>
      <c r="AL313">
        <f t="shared" si="47"/>
        <v>0</v>
      </c>
      <c r="AM313" s="70">
        <f t="shared" si="48"/>
        <v>0</v>
      </c>
      <c r="AN313" s="7" t="b">
        <f t="shared" si="49"/>
        <v>0</v>
      </c>
    </row>
    <row r="314" spans="1:40" x14ac:dyDescent="0.3">
      <c r="A314" s="50">
        <f>IF(D314="A",_xlfn.IFNA(INDEX(Data!$H$24:$J$28,MATCH('DL 1'!E315,Data!$G$24:$G$28,1),MATCH('DL 1'!D315,Data!$H$23:$J$23,1)),0),0)</f>
        <v>0</v>
      </c>
      <c r="B314">
        <f>IF('DL 1'!F315="Y",Q314,0)</f>
        <v>0</v>
      </c>
      <c r="C314" t="e">
        <f>_xlfn.IFNA(INDEX(Data!$H$24:$J$28,MATCH(#REF!,Data!$G$24:$G$28,1),MATCH(#REF!,Data!$H$23:$J$23,1)),0)</f>
        <v>#REF!</v>
      </c>
      <c r="D314" t="str">
        <f>RIGHT(TRIM('DL 1'!G315),1)</f>
        <v/>
      </c>
      <c r="E314" s="8">
        <f>'DL 1'!E315*'DL 1'!D315</f>
        <v>0</v>
      </c>
      <c r="F314" t="str">
        <f>_xlfn.IFNA(VLOOKUP(TRIM('DL 1'!G315),Data!$A:$C,3,0),"")</f>
        <v/>
      </c>
      <c r="G314" s="7">
        <f>'DL 1'!E315</f>
        <v>0</v>
      </c>
      <c r="H314" s="21">
        <f>_xlfn.IFNA(VLOOKUP(TRIM('DL 1'!G315),Data!$A:$D,4,0),0)</f>
        <v>0</v>
      </c>
      <c r="I314">
        <f>_xlfn.IFNA(INDEX(Data!$G$5:$K$10,MATCH('DL 1'!D315,Data!$F$5:$F$10,1),MATCH(_xlfn.SINGLE(#REF!),Data!$G$4:$K$4,1)),0)</f>
        <v>0</v>
      </c>
      <c r="J314">
        <f>_xlfn.IFNA(IF(VLOOKUP(TRIM('DL 1'!G315),Data!$A:$C,3,0)="ST1",H314*I314*G314,IF(VLOOKUP(TRIM('DL 1'!G315),Data!$A:$C,3,0)="IR0",H314*G314,MIN(H314:I314)*G314)),0)</f>
        <v>0</v>
      </c>
      <c r="K314" t="e">
        <f>_xlfn.IFNA(VLOOKUP(TRIM(#REF!),Data!$A:$D,4,0)*#REF!,0)</f>
        <v>#REF!</v>
      </c>
      <c r="L314">
        <f>IF(TRIM('DL 1'!G315)="EDCLNHT0IRNLI",20000,0)</f>
        <v>0</v>
      </c>
      <c r="M314">
        <f>IF(ISERROR(MATCH('DL 1'!A315,#REF!,0)),0,J314*2)</f>
        <v>0</v>
      </c>
      <c r="N314" t="e">
        <f>#REF!</f>
        <v>#REF!</v>
      </c>
      <c r="O314">
        <f>_xlfn.IFNA(VLOOKUP(RIGHT(VLOOKUP(TRIM('DL 1'!G315),Data!$A:$B,2,0),1),Data!$L$23:$M$30,2,0),0)</f>
        <v>0</v>
      </c>
      <c r="P314">
        <f t="shared" si="50"/>
        <v>0</v>
      </c>
      <c r="Q314" s="7" t="b">
        <f t="shared" si="41"/>
        <v>0</v>
      </c>
      <c r="R314" s="27">
        <f>INCENTIVE!$E$8</f>
        <v>130000000</v>
      </c>
      <c r="S314">
        <f>'DL 1'!D315</f>
        <v>0</v>
      </c>
      <c r="T314" t="str">
        <f t="shared" si="42"/>
        <v>1</v>
      </c>
      <c r="V314" t="str">
        <f t="shared" si="43"/>
        <v>1</v>
      </c>
      <c r="W314">
        <f t="shared" si="44"/>
        <v>0.25</v>
      </c>
      <c r="X314" s="7">
        <f>'DL 1'!E315</f>
        <v>0</v>
      </c>
      <c r="Y314" s="69">
        <f>'DL 1'!G315</f>
        <v>0</v>
      </c>
      <c r="AC314" t="str">
        <f>IFERROR(VLOOKUP(Y314,Data!$G$65:$K$79,2,0) *X314,"")</f>
        <v/>
      </c>
      <c r="AD314" s="7">
        <f t="shared" si="45"/>
        <v>0</v>
      </c>
      <c r="AE314">
        <f>'DL 1'!F315</f>
        <v>0</v>
      </c>
      <c r="AF314" t="str">
        <f>IFERROR(VLOOKUP(Y314,Data!$G$65:$K$79,4,0),"")</f>
        <v/>
      </c>
      <c r="AG314" s="51" t="e">
        <f>#REF!</f>
        <v>#REF!</v>
      </c>
      <c r="AK314">
        <f t="shared" si="46"/>
        <v>0</v>
      </c>
      <c r="AL314">
        <f t="shared" si="47"/>
        <v>0</v>
      </c>
      <c r="AM314" s="70">
        <f t="shared" si="48"/>
        <v>0</v>
      </c>
      <c r="AN314" s="7" t="b">
        <f t="shared" si="49"/>
        <v>0</v>
      </c>
    </row>
    <row r="315" spans="1:40" x14ac:dyDescent="0.3">
      <c r="A315" s="50">
        <f>IF(D315="A",_xlfn.IFNA(INDEX(Data!$H$24:$J$28,MATCH('DL 1'!E316,Data!$G$24:$G$28,1),MATCH('DL 1'!D316,Data!$H$23:$J$23,1)),0),0)</f>
        <v>0</v>
      </c>
      <c r="B315">
        <f>IF('DL 1'!F316="Y",Q315,0)</f>
        <v>0</v>
      </c>
      <c r="C315" t="e">
        <f>_xlfn.IFNA(INDEX(Data!$H$24:$J$28,MATCH(#REF!,Data!$G$24:$G$28,1),MATCH(#REF!,Data!$H$23:$J$23,1)),0)</f>
        <v>#REF!</v>
      </c>
      <c r="D315" t="str">
        <f>RIGHT(TRIM('DL 1'!G316),1)</f>
        <v/>
      </c>
      <c r="E315" s="8">
        <f>'DL 1'!E316*'DL 1'!D316</f>
        <v>0</v>
      </c>
      <c r="F315" t="str">
        <f>_xlfn.IFNA(VLOOKUP(TRIM('DL 1'!G316),Data!$A:$C,3,0),"")</f>
        <v/>
      </c>
      <c r="G315" s="7">
        <f>'DL 1'!E316</f>
        <v>0</v>
      </c>
      <c r="H315" s="21">
        <f>_xlfn.IFNA(VLOOKUP(TRIM('DL 1'!G316),Data!$A:$D,4,0),0)</f>
        <v>0</v>
      </c>
      <c r="I315">
        <f>_xlfn.IFNA(INDEX(Data!$G$5:$K$10,MATCH('DL 1'!D316,Data!$F$5:$F$10,1),MATCH(_xlfn.SINGLE(#REF!),Data!$G$4:$K$4,1)),0)</f>
        <v>0</v>
      </c>
      <c r="J315">
        <f>_xlfn.IFNA(IF(VLOOKUP(TRIM('DL 1'!G316),Data!$A:$C,3,0)="ST1",H315*I315*G315,IF(VLOOKUP(TRIM('DL 1'!G316),Data!$A:$C,3,0)="IR0",H315*G315,MIN(H315:I315)*G315)),0)</f>
        <v>0</v>
      </c>
      <c r="K315" t="e">
        <f>_xlfn.IFNA(VLOOKUP(TRIM(#REF!),Data!$A:$D,4,0)*#REF!,0)</f>
        <v>#REF!</v>
      </c>
      <c r="L315">
        <f>IF(TRIM('DL 1'!G316)="EDCLNHT0IRNLI",20000,0)</f>
        <v>0</v>
      </c>
      <c r="M315">
        <f>IF(ISERROR(MATCH('DL 1'!A316,#REF!,0)),0,J315*2)</f>
        <v>0</v>
      </c>
      <c r="N315" t="e">
        <f>#REF!</f>
        <v>#REF!</v>
      </c>
      <c r="O315">
        <f>_xlfn.IFNA(VLOOKUP(RIGHT(VLOOKUP(TRIM('DL 1'!G316),Data!$A:$B,2,0),1),Data!$L$23:$M$30,2,0),0)</f>
        <v>0</v>
      </c>
      <c r="P315">
        <f t="shared" si="50"/>
        <v>0</v>
      </c>
      <c r="Q315" s="7" t="b">
        <f t="shared" si="41"/>
        <v>0</v>
      </c>
      <c r="R315" s="27">
        <f>INCENTIVE!$E$8</f>
        <v>130000000</v>
      </c>
      <c r="S315">
        <f>'DL 1'!D316</f>
        <v>0</v>
      </c>
      <c r="T315" t="str">
        <f t="shared" si="42"/>
        <v>1</v>
      </c>
      <c r="V315" t="str">
        <f t="shared" si="43"/>
        <v>1</v>
      </c>
      <c r="W315">
        <f t="shared" si="44"/>
        <v>0.25</v>
      </c>
      <c r="X315" s="7">
        <f>'DL 1'!E316</f>
        <v>0</v>
      </c>
      <c r="Y315" s="69">
        <f>'DL 1'!G316</f>
        <v>0</v>
      </c>
      <c r="AC315" t="str">
        <f>IFERROR(VLOOKUP(Y315,Data!$G$65:$K$79,2,0) *X315,"")</f>
        <v/>
      </c>
      <c r="AD315" s="7">
        <f t="shared" si="45"/>
        <v>0</v>
      </c>
      <c r="AE315">
        <f>'DL 1'!F316</f>
        <v>0</v>
      </c>
      <c r="AF315" t="str">
        <f>IFERROR(VLOOKUP(Y315,Data!$G$65:$K$79,4,0),"")</f>
        <v/>
      </c>
      <c r="AG315" s="51" t="e">
        <f>#REF!</f>
        <v>#REF!</v>
      </c>
      <c r="AK315">
        <f t="shared" si="46"/>
        <v>0</v>
      </c>
      <c r="AL315">
        <f t="shared" si="47"/>
        <v>0</v>
      </c>
      <c r="AM315" s="70">
        <f t="shared" si="48"/>
        <v>0</v>
      </c>
      <c r="AN315" s="7" t="b">
        <f t="shared" si="49"/>
        <v>0</v>
      </c>
    </row>
    <row r="316" spans="1:40" x14ac:dyDescent="0.3">
      <c r="A316" s="50">
        <f>IF(D316="A",_xlfn.IFNA(INDEX(Data!$H$24:$J$28,MATCH('DL 1'!E317,Data!$G$24:$G$28,1),MATCH('DL 1'!D317,Data!$H$23:$J$23,1)),0),0)</f>
        <v>0</v>
      </c>
      <c r="B316">
        <f>IF('DL 1'!F317="Y",Q316,0)</f>
        <v>0</v>
      </c>
      <c r="C316" t="e">
        <f>_xlfn.IFNA(INDEX(Data!$H$24:$J$28,MATCH(#REF!,Data!$G$24:$G$28,1),MATCH(#REF!,Data!$H$23:$J$23,1)),0)</f>
        <v>#REF!</v>
      </c>
      <c r="D316" t="str">
        <f>RIGHT(TRIM('DL 1'!G317),1)</f>
        <v/>
      </c>
      <c r="E316" s="8">
        <f>'DL 1'!E317*'DL 1'!D317</f>
        <v>0</v>
      </c>
      <c r="F316" t="str">
        <f>_xlfn.IFNA(VLOOKUP(TRIM('DL 1'!G317),Data!$A:$C,3,0),"")</f>
        <v/>
      </c>
      <c r="G316" s="7">
        <f>'DL 1'!E317</f>
        <v>0</v>
      </c>
      <c r="H316" s="21">
        <f>_xlfn.IFNA(VLOOKUP(TRIM('DL 1'!G317),Data!$A:$D,4,0),0)</f>
        <v>0</v>
      </c>
      <c r="I316">
        <f>_xlfn.IFNA(INDEX(Data!$G$5:$K$10,MATCH('DL 1'!D317,Data!$F$5:$F$10,1),MATCH(_xlfn.SINGLE(#REF!),Data!$G$4:$K$4,1)),0)</f>
        <v>0</v>
      </c>
      <c r="J316">
        <f>_xlfn.IFNA(IF(VLOOKUP(TRIM('DL 1'!G317),Data!$A:$C,3,0)="ST1",H316*I316*G316,IF(VLOOKUP(TRIM('DL 1'!G317),Data!$A:$C,3,0)="IR0",H316*G316,MIN(H316:I316)*G316)),0)</f>
        <v>0</v>
      </c>
      <c r="K316" t="e">
        <f>_xlfn.IFNA(VLOOKUP(TRIM(#REF!),Data!$A:$D,4,0)*#REF!,0)</f>
        <v>#REF!</v>
      </c>
      <c r="L316">
        <f>IF(TRIM('DL 1'!G317)="EDCLNHT0IRNLI",20000,0)</f>
        <v>0</v>
      </c>
      <c r="M316">
        <f>IF(ISERROR(MATCH('DL 1'!A317,#REF!,0)),0,J316*2)</f>
        <v>0</v>
      </c>
      <c r="N316" t="e">
        <f>#REF!</f>
        <v>#REF!</v>
      </c>
      <c r="O316">
        <f>_xlfn.IFNA(VLOOKUP(RIGHT(VLOOKUP(TRIM('DL 1'!G317),Data!$A:$B,2,0),1),Data!$L$23:$M$30,2,0),0)</f>
        <v>0</v>
      </c>
      <c r="P316">
        <f t="shared" si="50"/>
        <v>0</v>
      </c>
      <c r="Q316" s="7" t="b">
        <f t="shared" si="41"/>
        <v>0</v>
      </c>
      <c r="R316" s="27">
        <f>INCENTIVE!$E$8</f>
        <v>130000000</v>
      </c>
      <c r="S316">
        <f>'DL 1'!D317</f>
        <v>0</v>
      </c>
      <c r="T316" t="str">
        <f t="shared" si="42"/>
        <v>1</v>
      </c>
      <c r="V316" t="str">
        <f t="shared" si="43"/>
        <v>1</v>
      </c>
      <c r="W316">
        <f t="shared" si="44"/>
        <v>0.25</v>
      </c>
      <c r="X316" s="7">
        <f>'DL 1'!E317</f>
        <v>0</v>
      </c>
      <c r="Y316" s="69">
        <f>'DL 1'!G317</f>
        <v>0</v>
      </c>
      <c r="AC316" t="str">
        <f>IFERROR(VLOOKUP(Y316,Data!$G$65:$K$79,2,0) *X316,"")</f>
        <v/>
      </c>
      <c r="AD316" s="7">
        <f t="shared" si="45"/>
        <v>0</v>
      </c>
      <c r="AE316">
        <f>'DL 1'!F317</f>
        <v>0</v>
      </c>
      <c r="AF316" t="str">
        <f>IFERROR(VLOOKUP(Y316,Data!$G$65:$K$79,4,0),"")</f>
        <v/>
      </c>
      <c r="AG316" s="51" t="e">
        <f>#REF!</f>
        <v>#REF!</v>
      </c>
      <c r="AK316">
        <f t="shared" si="46"/>
        <v>0</v>
      </c>
      <c r="AL316">
        <f t="shared" si="47"/>
        <v>0</v>
      </c>
      <c r="AM316" s="70">
        <f t="shared" si="48"/>
        <v>0</v>
      </c>
      <c r="AN316" s="7" t="b">
        <f t="shared" si="49"/>
        <v>0</v>
      </c>
    </row>
    <row r="317" spans="1:40" x14ac:dyDescent="0.3">
      <c r="A317" s="50">
        <f>IF(D317="A",_xlfn.IFNA(INDEX(Data!$H$24:$J$28,MATCH('DL 1'!E318,Data!$G$24:$G$28,1),MATCH('DL 1'!D318,Data!$H$23:$J$23,1)),0),0)</f>
        <v>0</v>
      </c>
      <c r="B317">
        <f>IF('DL 1'!F318="Y",Q317,0)</f>
        <v>0</v>
      </c>
      <c r="C317" t="e">
        <f>_xlfn.IFNA(INDEX(Data!$H$24:$J$28,MATCH(#REF!,Data!$G$24:$G$28,1),MATCH(#REF!,Data!$H$23:$J$23,1)),0)</f>
        <v>#REF!</v>
      </c>
      <c r="D317" t="str">
        <f>RIGHT(TRIM('DL 1'!G318),1)</f>
        <v/>
      </c>
      <c r="E317" s="8">
        <f>'DL 1'!E318*'DL 1'!D318</f>
        <v>0</v>
      </c>
      <c r="F317" t="str">
        <f>_xlfn.IFNA(VLOOKUP(TRIM('DL 1'!G318),Data!$A:$C,3,0),"")</f>
        <v/>
      </c>
      <c r="G317" s="7">
        <f>'DL 1'!E318</f>
        <v>0</v>
      </c>
      <c r="H317" s="21">
        <f>_xlfn.IFNA(VLOOKUP(TRIM('DL 1'!G318),Data!$A:$D,4,0),0)</f>
        <v>0</v>
      </c>
      <c r="I317">
        <f>_xlfn.IFNA(INDEX(Data!$G$5:$K$10,MATCH('DL 1'!D318,Data!$F$5:$F$10,1),MATCH(_xlfn.SINGLE(#REF!),Data!$G$4:$K$4,1)),0)</f>
        <v>0</v>
      </c>
      <c r="J317">
        <f>_xlfn.IFNA(IF(VLOOKUP(TRIM('DL 1'!G318),Data!$A:$C,3,0)="ST1",H317*I317*G317,IF(VLOOKUP(TRIM('DL 1'!G318),Data!$A:$C,3,0)="IR0",H317*G317,MIN(H317:I317)*G317)),0)</f>
        <v>0</v>
      </c>
      <c r="K317" t="e">
        <f>_xlfn.IFNA(VLOOKUP(TRIM(#REF!),Data!$A:$D,4,0)*#REF!,0)</f>
        <v>#REF!</v>
      </c>
      <c r="L317">
        <f>IF(TRIM('DL 1'!G318)="EDCLNHT0IRNLI",20000,0)</f>
        <v>0</v>
      </c>
      <c r="M317">
        <f>IF(ISERROR(MATCH('DL 1'!A318,#REF!,0)),0,J317*2)</f>
        <v>0</v>
      </c>
      <c r="N317" t="e">
        <f>#REF!</f>
        <v>#REF!</v>
      </c>
      <c r="O317">
        <f>_xlfn.IFNA(VLOOKUP(RIGHT(VLOOKUP(TRIM('DL 1'!G318),Data!$A:$B,2,0),1),Data!$L$23:$M$30,2,0),0)</f>
        <v>0</v>
      </c>
      <c r="P317">
        <f t="shared" si="50"/>
        <v>0</v>
      </c>
      <c r="Q317" s="7" t="b">
        <f t="shared" si="41"/>
        <v>0</v>
      </c>
      <c r="R317" s="27">
        <f>INCENTIVE!$E$8</f>
        <v>130000000</v>
      </c>
      <c r="S317">
        <f>'DL 1'!D318</f>
        <v>0</v>
      </c>
      <c r="T317" t="str">
        <f t="shared" si="42"/>
        <v>1</v>
      </c>
      <c r="V317" t="str">
        <f t="shared" si="43"/>
        <v>1</v>
      </c>
      <c r="W317">
        <f t="shared" si="44"/>
        <v>0.25</v>
      </c>
      <c r="X317" s="7">
        <f>'DL 1'!E318</f>
        <v>0</v>
      </c>
      <c r="Y317" s="69">
        <f>'DL 1'!G318</f>
        <v>0</v>
      </c>
      <c r="AC317" t="str">
        <f>IFERROR(VLOOKUP(Y317,Data!$G$65:$K$79,2,0) *X317,"")</f>
        <v/>
      </c>
      <c r="AD317" s="7">
        <f t="shared" si="45"/>
        <v>0</v>
      </c>
      <c r="AE317">
        <f>'DL 1'!F318</f>
        <v>0</v>
      </c>
      <c r="AF317" t="str">
        <f>IFERROR(VLOOKUP(Y317,Data!$G$65:$K$79,4,0),"")</f>
        <v/>
      </c>
      <c r="AG317" s="51" t="e">
        <f>#REF!</f>
        <v>#REF!</v>
      </c>
      <c r="AK317">
        <f t="shared" si="46"/>
        <v>0</v>
      </c>
      <c r="AL317">
        <f t="shared" si="47"/>
        <v>0</v>
      </c>
      <c r="AM317" s="70">
        <f t="shared" si="48"/>
        <v>0</v>
      </c>
      <c r="AN317" s="7" t="b">
        <f t="shared" si="49"/>
        <v>0</v>
      </c>
    </row>
    <row r="318" spans="1:40" x14ac:dyDescent="0.3">
      <c r="A318" s="50">
        <f>IF(D318="A",_xlfn.IFNA(INDEX(Data!$H$24:$J$28,MATCH('DL 1'!E319,Data!$G$24:$G$28,1),MATCH('DL 1'!D319,Data!$H$23:$J$23,1)),0),0)</f>
        <v>0</v>
      </c>
      <c r="B318">
        <f>IF('DL 1'!F319="Y",Q318,0)</f>
        <v>0</v>
      </c>
      <c r="C318" t="e">
        <f>_xlfn.IFNA(INDEX(Data!$H$24:$J$28,MATCH(#REF!,Data!$G$24:$G$28,1),MATCH(#REF!,Data!$H$23:$J$23,1)),0)</f>
        <v>#REF!</v>
      </c>
      <c r="D318" t="str">
        <f>RIGHT(TRIM('DL 1'!G319),1)</f>
        <v/>
      </c>
      <c r="E318" s="8">
        <f>'DL 1'!E319*'DL 1'!D319</f>
        <v>0</v>
      </c>
      <c r="F318" t="str">
        <f>_xlfn.IFNA(VLOOKUP(TRIM('DL 1'!G319),Data!$A:$C,3,0),"")</f>
        <v/>
      </c>
      <c r="G318" s="7">
        <f>'DL 1'!E319</f>
        <v>0</v>
      </c>
      <c r="H318" s="21">
        <f>_xlfn.IFNA(VLOOKUP(TRIM('DL 1'!G319),Data!$A:$D,4,0),0)</f>
        <v>0</v>
      </c>
      <c r="I318">
        <f>_xlfn.IFNA(INDEX(Data!$G$5:$K$10,MATCH('DL 1'!D319,Data!$F$5:$F$10,1),MATCH(_xlfn.SINGLE(#REF!),Data!$G$4:$K$4,1)),0)</f>
        <v>0</v>
      </c>
      <c r="J318">
        <f>_xlfn.IFNA(IF(VLOOKUP(TRIM('DL 1'!G319),Data!$A:$C,3,0)="ST1",H318*I318*G318,IF(VLOOKUP(TRIM('DL 1'!G319),Data!$A:$C,3,0)="IR0",H318*G318,MIN(H318:I318)*G318)),0)</f>
        <v>0</v>
      </c>
      <c r="K318" t="e">
        <f>_xlfn.IFNA(VLOOKUP(TRIM(#REF!),Data!$A:$D,4,0)*#REF!,0)</f>
        <v>#REF!</v>
      </c>
      <c r="L318">
        <f>IF(TRIM('DL 1'!G319)="EDCLNHT0IRNLI",20000,0)</f>
        <v>0</v>
      </c>
      <c r="M318">
        <f>IF(ISERROR(MATCH('DL 1'!A319,#REF!,0)),0,J318*2)</f>
        <v>0</v>
      </c>
      <c r="N318" t="e">
        <f>#REF!</f>
        <v>#REF!</v>
      </c>
      <c r="O318">
        <f>_xlfn.IFNA(VLOOKUP(RIGHT(VLOOKUP(TRIM('DL 1'!G319),Data!$A:$B,2,0),1),Data!$L$23:$M$30,2,0),0)</f>
        <v>0</v>
      </c>
      <c r="P318">
        <f t="shared" si="50"/>
        <v>0</v>
      </c>
      <c r="Q318" s="7" t="b">
        <f t="shared" si="41"/>
        <v>0</v>
      </c>
      <c r="R318" s="27">
        <f>INCENTIVE!$E$8</f>
        <v>130000000</v>
      </c>
      <c r="S318">
        <f>'DL 1'!D319</f>
        <v>0</v>
      </c>
      <c r="T318" t="str">
        <f t="shared" si="42"/>
        <v>1</v>
      </c>
      <c r="V318" t="str">
        <f t="shared" si="43"/>
        <v>1</v>
      </c>
      <c r="W318">
        <f t="shared" si="44"/>
        <v>0.25</v>
      </c>
      <c r="X318" s="7">
        <f>'DL 1'!E319</f>
        <v>0</v>
      </c>
      <c r="Y318" s="69">
        <f>'DL 1'!G319</f>
        <v>0</v>
      </c>
      <c r="AC318" t="str">
        <f>IFERROR(VLOOKUP(Y318,Data!$G$65:$K$79,2,0) *X318,"")</f>
        <v/>
      </c>
      <c r="AD318" s="7">
        <f t="shared" si="45"/>
        <v>0</v>
      </c>
      <c r="AE318">
        <f>'DL 1'!F319</f>
        <v>0</v>
      </c>
      <c r="AF318" t="str">
        <f>IFERROR(VLOOKUP(Y318,Data!$G$65:$K$79,4,0),"")</f>
        <v/>
      </c>
      <c r="AG318" s="51" t="e">
        <f>#REF!</f>
        <v>#REF!</v>
      </c>
      <c r="AK318">
        <f t="shared" si="46"/>
        <v>0</v>
      </c>
      <c r="AL318">
        <f t="shared" si="47"/>
        <v>0</v>
      </c>
      <c r="AM318" s="70">
        <f t="shared" si="48"/>
        <v>0</v>
      </c>
      <c r="AN318" s="7" t="b">
        <f t="shared" si="49"/>
        <v>0</v>
      </c>
    </row>
    <row r="319" spans="1:40" x14ac:dyDescent="0.3">
      <c r="A319" s="50">
        <f>IF(D319="A",_xlfn.IFNA(INDEX(Data!$H$24:$J$28,MATCH('DL 1'!E320,Data!$G$24:$G$28,1),MATCH('DL 1'!D320,Data!$H$23:$J$23,1)),0),0)</f>
        <v>0</v>
      </c>
      <c r="B319">
        <f>IF('DL 1'!F320="Y",Q319,0)</f>
        <v>0</v>
      </c>
      <c r="C319" t="e">
        <f>_xlfn.IFNA(INDEX(Data!$H$24:$J$28,MATCH(#REF!,Data!$G$24:$G$28,1),MATCH(#REF!,Data!$H$23:$J$23,1)),0)</f>
        <v>#REF!</v>
      </c>
      <c r="D319" t="str">
        <f>RIGHT(TRIM('DL 1'!G320),1)</f>
        <v/>
      </c>
      <c r="E319" s="8">
        <f>'DL 1'!E320*'DL 1'!D320</f>
        <v>0</v>
      </c>
      <c r="F319" t="str">
        <f>_xlfn.IFNA(VLOOKUP(TRIM('DL 1'!G320),Data!$A:$C,3,0),"")</f>
        <v/>
      </c>
      <c r="G319" s="7">
        <f>'DL 1'!E320</f>
        <v>0</v>
      </c>
      <c r="H319" s="21">
        <f>_xlfn.IFNA(VLOOKUP(TRIM('DL 1'!G320),Data!$A:$D,4,0),0)</f>
        <v>0</v>
      </c>
      <c r="I319">
        <f>_xlfn.IFNA(INDEX(Data!$G$5:$K$10,MATCH('DL 1'!D320,Data!$F$5:$F$10,1),MATCH(_xlfn.SINGLE(#REF!),Data!$G$4:$K$4,1)),0)</f>
        <v>0</v>
      </c>
      <c r="J319">
        <f>_xlfn.IFNA(IF(VLOOKUP(TRIM('DL 1'!G320),Data!$A:$C,3,0)="ST1",H319*I319*G319,IF(VLOOKUP(TRIM('DL 1'!G320),Data!$A:$C,3,0)="IR0",H319*G319,MIN(H319:I319)*G319)),0)</f>
        <v>0</v>
      </c>
      <c r="K319" t="e">
        <f>_xlfn.IFNA(VLOOKUP(TRIM(#REF!),Data!$A:$D,4,0)*#REF!,0)</f>
        <v>#REF!</v>
      </c>
      <c r="L319">
        <f>IF(TRIM('DL 1'!G320)="EDCLNHT0IRNLI",20000,0)</f>
        <v>0</v>
      </c>
      <c r="M319">
        <f>IF(ISERROR(MATCH('DL 1'!A320,#REF!,0)),0,J319*2)</f>
        <v>0</v>
      </c>
      <c r="N319" t="e">
        <f>#REF!</f>
        <v>#REF!</v>
      </c>
      <c r="O319">
        <f>_xlfn.IFNA(VLOOKUP(RIGHT(VLOOKUP(TRIM('DL 1'!G320),Data!$A:$B,2,0),1),Data!$L$23:$M$30,2,0),0)</f>
        <v>0</v>
      </c>
      <c r="P319">
        <f t="shared" si="50"/>
        <v>0</v>
      </c>
      <c r="Q319" s="7" t="b">
        <f t="shared" si="41"/>
        <v>0</v>
      </c>
      <c r="R319" s="27">
        <f>INCENTIVE!$E$8</f>
        <v>130000000</v>
      </c>
      <c r="S319">
        <f>'DL 1'!D320</f>
        <v>0</v>
      </c>
      <c r="T319" t="str">
        <f t="shared" si="42"/>
        <v>1</v>
      </c>
      <c r="V319" t="str">
        <f t="shared" si="43"/>
        <v>1</v>
      </c>
      <c r="W319">
        <f t="shared" si="44"/>
        <v>0.25</v>
      </c>
      <c r="X319" s="7">
        <f>'DL 1'!E320</f>
        <v>0</v>
      </c>
      <c r="Y319" s="69">
        <f>'DL 1'!G320</f>
        <v>0</v>
      </c>
      <c r="AC319" t="str">
        <f>IFERROR(VLOOKUP(Y319,Data!$G$65:$K$79,2,0) *X319,"")</f>
        <v/>
      </c>
      <c r="AD319" s="7">
        <f t="shared" si="45"/>
        <v>0</v>
      </c>
      <c r="AE319">
        <f>'DL 1'!F320</f>
        <v>0</v>
      </c>
      <c r="AF319" t="str">
        <f>IFERROR(VLOOKUP(Y319,Data!$G$65:$K$79,4,0),"")</f>
        <v/>
      </c>
      <c r="AG319" s="51" t="e">
        <f>#REF!</f>
        <v>#REF!</v>
      </c>
      <c r="AK319">
        <f t="shared" si="46"/>
        <v>0</v>
      </c>
      <c r="AL319">
        <f t="shared" si="47"/>
        <v>0</v>
      </c>
      <c r="AM319" s="70">
        <f t="shared" si="48"/>
        <v>0</v>
      </c>
      <c r="AN319" s="7" t="b">
        <f t="shared" si="49"/>
        <v>0</v>
      </c>
    </row>
    <row r="320" spans="1:40" x14ac:dyDescent="0.3">
      <c r="A320" s="50">
        <f>IF(D320="A",_xlfn.IFNA(INDEX(Data!$H$24:$J$28,MATCH('DL 1'!E321,Data!$G$24:$G$28,1),MATCH('DL 1'!D321,Data!$H$23:$J$23,1)),0),0)</f>
        <v>0</v>
      </c>
      <c r="B320">
        <f>IF('DL 1'!F321="Y",Q320,0)</f>
        <v>0</v>
      </c>
      <c r="C320" t="e">
        <f>_xlfn.IFNA(INDEX(Data!$H$24:$J$28,MATCH(#REF!,Data!$G$24:$G$28,1),MATCH(#REF!,Data!$H$23:$J$23,1)),0)</f>
        <v>#REF!</v>
      </c>
      <c r="D320" t="str">
        <f>RIGHT(TRIM('DL 1'!G321),1)</f>
        <v/>
      </c>
      <c r="E320" s="8">
        <f>'DL 1'!E321*'DL 1'!D321</f>
        <v>0</v>
      </c>
      <c r="F320" t="str">
        <f>_xlfn.IFNA(VLOOKUP(TRIM('DL 1'!G321),Data!$A:$C,3,0),"")</f>
        <v/>
      </c>
      <c r="G320" s="7">
        <f>'DL 1'!E321</f>
        <v>0</v>
      </c>
      <c r="H320" s="21">
        <f>_xlfn.IFNA(VLOOKUP(TRIM('DL 1'!G321),Data!$A:$D,4,0),0)</f>
        <v>0</v>
      </c>
      <c r="I320">
        <f>_xlfn.IFNA(INDEX(Data!$G$5:$K$10,MATCH('DL 1'!D321,Data!$F$5:$F$10,1),MATCH(_xlfn.SINGLE(#REF!),Data!$G$4:$K$4,1)),0)</f>
        <v>0</v>
      </c>
      <c r="J320">
        <f>_xlfn.IFNA(IF(VLOOKUP(TRIM('DL 1'!G321),Data!$A:$C,3,0)="ST1",H320*I320*G320,IF(VLOOKUP(TRIM('DL 1'!G321),Data!$A:$C,3,0)="IR0",H320*G320,MIN(H320:I320)*G320)),0)</f>
        <v>0</v>
      </c>
      <c r="K320" t="e">
        <f>_xlfn.IFNA(VLOOKUP(TRIM(#REF!),Data!$A:$D,4,0)*#REF!,0)</f>
        <v>#REF!</v>
      </c>
      <c r="L320">
        <f>IF(TRIM('DL 1'!G321)="EDCLNHT0IRNLI",20000,0)</f>
        <v>0</v>
      </c>
      <c r="M320">
        <f>IF(ISERROR(MATCH('DL 1'!A321,#REF!,0)),0,J320*2)</f>
        <v>0</v>
      </c>
      <c r="N320" t="e">
        <f>#REF!</f>
        <v>#REF!</v>
      </c>
      <c r="O320">
        <f>_xlfn.IFNA(VLOOKUP(RIGHT(VLOOKUP(TRIM('DL 1'!G321),Data!$A:$B,2,0),1),Data!$L$23:$M$30,2,0),0)</f>
        <v>0</v>
      </c>
      <c r="P320">
        <f t="shared" si="50"/>
        <v>0</v>
      </c>
      <c r="Q320" s="7" t="b">
        <f t="shared" si="41"/>
        <v>0</v>
      </c>
      <c r="R320" s="27">
        <f>INCENTIVE!$E$8</f>
        <v>130000000</v>
      </c>
      <c r="S320">
        <f>'DL 1'!D321</f>
        <v>0</v>
      </c>
      <c r="T320" t="str">
        <f t="shared" si="42"/>
        <v>1</v>
      </c>
      <c r="V320" t="str">
        <f t="shared" si="43"/>
        <v>1</v>
      </c>
      <c r="W320">
        <f t="shared" si="44"/>
        <v>0.25</v>
      </c>
      <c r="X320" s="7">
        <f>'DL 1'!E321</f>
        <v>0</v>
      </c>
      <c r="Y320" s="69">
        <f>'DL 1'!G321</f>
        <v>0</v>
      </c>
      <c r="AC320" t="str">
        <f>IFERROR(VLOOKUP(Y320,Data!$G$65:$K$79,2,0) *X320,"")</f>
        <v/>
      </c>
      <c r="AD320" s="7">
        <f t="shared" si="45"/>
        <v>0</v>
      </c>
      <c r="AE320">
        <f>'DL 1'!F321</f>
        <v>0</v>
      </c>
      <c r="AF320" t="str">
        <f>IFERROR(VLOOKUP(Y320,Data!$G$65:$K$79,4,0),"")</f>
        <v/>
      </c>
      <c r="AG320" s="51" t="e">
        <f>#REF!</f>
        <v>#REF!</v>
      </c>
      <c r="AK320">
        <f t="shared" si="46"/>
        <v>0</v>
      </c>
      <c r="AL320">
        <f t="shared" si="47"/>
        <v>0</v>
      </c>
      <c r="AM320" s="70">
        <f t="shared" si="48"/>
        <v>0</v>
      </c>
      <c r="AN320" s="7" t="b">
        <f t="shared" si="49"/>
        <v>0</v>
      </c>
    </row>
    <row r="321" spans="1:40" x14ac:dyDescent="0.3">
      <c r="A321" s="50">
        <f>IF(D321="A",_xlfn.IFNA(INDEX(Data!$H$24:$J$28,MATCH('DL 1'!E322,Data!$G$24:$G$28,1),MATCH('DL 1'!D322,Data!$H$23:$J$23,1)),0),0)</f>
        <v>0</v>
      </c>
      <c r="B321">
        <f>IF('DL 1'!F322="Y",Q321,0)</f>
        <v>0</v>
      </c>
      <c r="C321" t="e">
        <f>_xlfn.IFNA(INDEX(Data!$H$24:$J$28,MATCH(#REF!,Data!$G$24:$G$28,1),MATCH(#REF!,Data!$H$23:$J$23,1)),0)</f>
        <v>#REF!</v>
      </c>
      <c r="D321" t="str">
        <f>RIGHT(TRIM('DL 1'!G322),1)</f>
        <v/>
      </c>
      <c r="E321" s="8">
        <f>'DL 1'!E322*'DL 1'!D322</f>
        <v>0</v>
      </c>
      <c r="F321" t="str">
        <f>_xlfn.IFNA(VLOOKUP(TRIM('DL 1'!G322),Data!$A:$C,3,0),"")</f>
        <v/>
      </c>
      <c r="G321" s="7">
        <f>'DL 1'!E322</f>
        <v>0</v>
      </c>
      <c r="H321" s="21">
        <f>_xlfn.IFNA(VLOOKUP(TRIM('DL 1'!G322),Data!$A:$D,4,0),0)</f>
        <v>0</v>
      </c>
      <c r="I321">
        <f>_xlfn.IFNA(INDEX(Data!$G$5:$K$10,MATCH('DL 1'!D322,Data!$F$5:$F$10,1),MATCH(_xlfn.SINGLE(#REF!),Data!$G$4:$K$4,1)),0)</f>
        <v>0</v>
      </c>
      <c r="J321">
        <f>_xlfn.IFNA(IF(VLOOKUP(TRIM('DL 1'!G322),Data!$A:$C,3,0)="ST1",H321*I321*G321,IF(VLOOKUP(TRIM('DL 1'!G322),Data!$A:$C,3,0)="IR0",H321*G321,MIN(H321:I321)*G321)),0)</f>
        <v>0</v>
      </c>
      <c r="K321" t="e">
        <f>_xlfn.IFNA(VLOOKUP(TRIM(#REF!),Data!$A:$D,4,0)*#REF!,0)</f>
        <v>#REF!</v>
      </c>
      <c r="L321">
        <f>IF(TRIM('DL 1'!G322)="EDCLNHT0IRNLI",20000,0)</f>
        <v>0</v>
      </c>
      <c r="M321">
        <f>IF(ISERROR(MATCH('DL 1'!A322,#REF!,0)),0,J321*2)</f>
        <v>0</v>
      </c>
      <c r="N321" t="e">
        <f>#REF!</f>
        <v>#REF!</v>
      </c>
      <c r="O321">
        <f>_xlfn.IFNA(VLOOKUP(RIGHT(VLOOKUP(TRIM('DL 1'!G322),Data!$A:$B,2,0),1),Data!$L$23:$M$30,2,0),0)</f>
        <v>0</v>
      </c>
      <c r="P321">
        <f t="shared" si="50"/>
        <v>0</v>
      </c>
      <c r="Q321" s="7" t="b">
        <f t="shared" si="41"/>
        <v>0</v>
      </c>
      <c r="R321" s="27">
        <f>INCENTIVE!$E$8</f>
        <v>130000000</v>
      </c>
      <c r="S321">
        <f>'DL 1'!D322</f>
        <v>0</v>
      </c>
      <c r="T321" t="str">
        <f t="shared" si="42"/>
        <v>1</v>
      </c>
      <c r="V321" t="str">
        <f t="shared" si="43"/>
        <v>1</v>
      </c>
      <c r="W321">
        <f t="shared" si="44"/>
        <v>0.25</v>
      </c>
      <c r="X321" s="7">
        <f>'DL 1'!E322</f>
        <v>0</v>
      </c>
      <c r="Y321" s="69">
        <f>'DL 1'!G322</f>
        <v>0</v>
      </c>
      <c r="AC321" t="str">
        <f>IFERROR(VLOOKUP(Y321,Data!$G$65:$K$79,2,0) *X321,"")</f>
        <v/>
      </c>
      <c r="AD321" s="7">
        <f t="shared" si="45"/>
        <v>0</v>
      </c>
      <c r="AE321">
        <f>'DL 1'!F322</f>
        <v>0</v>
      </c>
      <c r="AF321" t="str">
        <f>IFERROR(VLOOKUP(Y321,Data!$G$65:$K$79,4,0),"")</f>
        <v/>
      </c>
      <c r="AG321" s="51" t="e">
        <f>#REF!</f>
        <v>#REF!</v>
      </c>
      <c r="AK321">
        <f t="shared" si="46"/>
        <v>0</v>
      </c>
      <c r="AL321">
        <f t="shared" si="47"/>
        <v>0</v>
      </c>
      <c r="AM321" s="70">
        <f t="shared" si="48"/>
        <v>0</v>
      </c>
      <c r="AN321" s="7" t="b">
        <f t="shared" si="49"/>
        <v>0</v>
      </c>
    </row>
    <row r="322" spans="1:40" x14ac:dyDescent="0.3">
      <c r="A322" s="50">
        <f>IF(D322="A",_xlfn.IFNA(INDEX(Data!$H$24:$J$28,MATCH('DL 1'!E323,Data!$G$24:$G$28,1),MATCH('DL 1'!D323,Data!$H$23:$J$23,1)),0),0)</f>
        <v>0</v>
      </c>
      <c r="B322">
        <f>IF('DL 1'!F323="Y",Q322,0)</f>
        <v>0</v>
      </c>
      <c r="C322" t="e">
        <f>_xlfn.IFNA(INDEX(Data!$H$24:$J$28,MATCH(#REF!,Data!$G$24:$G$28,1),MATCH(#REF!,Data!$H$23:$J$23,1)),0)</f>
        <v>#REF!</v>
      </c>
      <c r="D322" t="str">
        <f>RIGHT(TRIM('DL 1'!G323),1)</f>
        <v/>
      </c>
      <c r="E322" s="8">
        <f>'DL 1'!E323*'DL 1'!D323</f>
        <v>0</v>
      </c>
      <c r="F322" t="str">
        <f>_xlfn.IFNA(VLOOKUP(TRIM('DL 1'!G323),Data!$A:$C,3,0),"")</f>
        <v/>
      </c>
      <c r="G322" s="7">
        <f>'DL 1'!E323</f>
        <v>0</v>
      </c>
      <c r="H322" s="21">
        <f>_xlfn.IFNA(VLOOKUP(TRIM('DL 1'!G323),Data!$A:$D,4,0),0)</f>
        <v>0</v>
      </c>
      <c r="I322">
        <f>_xlfn.IFNA(INDEX(Data!$G$5:$K$10,MATCH('DL 1'!D323,Data!$F$5:$F$10,1),MATCH(_xlfn.SINGLE(#REF!),Data!$G$4:$K$4,1)),0)</f>
        <v>0</v>
      </c>
      <c r="J322">
        <f>_xlfn.IFNA(IF(VLOOKUP(TRIM('DL 1'!G323),Data!$A:$C,3,0)="ST1",H322*I322*G322,IF(VLOOKUP(TRIM('DL 1'!G323),Data!$A:$C,3,0)="IR0",H322*G322,MIN(H322:I322)*G322)),0)</f>
        <v>0</v>
      </c>
      <c r="K322" t="e">
        <f>_xlfn.IFNA(VLOOKUP(TRIM(#REF!),Data!$A:$D,4,0)*#REF!,0)</f>
        <v>#REF!</v>
      </c>
      <c r="L322">
        <f>IF(TRIM('DL 1'!G323)="EDCLNHT0IRNLI",20000,0)</f>
        <v>0</v>
      </c>
      <c r="M322">
        <f>IF(ISERROR(MATCH('DL 1'!A323,#REF!,0)),0,J322*2)</f>
        <v>0</v>
      </c>
      <c r="N322" t="e">
        <f>#REF!</f>
        <v>#REF!</v>
      </c>
      <c r="O322">
        <f>_xlfn.IFNA(VLOOKUP(RIGHT(VLOOKUP(TRIM('DL 1'!G323),Data!$A:$B,2,0),1),Data!$L$23:$M$30,2,0),0)</f>
        <v>0</v>
      </c>
      <c r="P322">
        <f t="shared" si="50"/>
        <v>0</v>
      </c>
      <c r="Q322" s="7" t="b">
        <f t="shared" si="41"/>
        <v>0</v>
      </c>
      <c r="R322" s="27">
        <f>INCENTIVE!$E$8</f>
        <v>130000000</v>
      </c>
      <c r="S322">
        <f>'DL 1'!D323</f>
        <v>0</v>
      </c>
      <c r="T322" t="str">
        <f t="shared" si="42"/>
        <v>1</v>
      </c>
      <c r="V322" t="str">
        <f t="shared" si="43"/>
        <v>1</v>
      </c>
      <c r="W322">
        <f t="shared" si="44"/>
        <v>0.25</v>
      </c>
      <c r="X322" s="7">
        <f>'DL 1'!E323</f>
        <v>0</v>
      </c>
      <c r="Y322" s="69">
        <f>'DL 1'!G323</f>
        <v>0</v>
      </c>
      <c r="AC322" t="str">
        <f>IFERROR(VLOOKUP(Y322,Data!$G$65:$K$79,2,0) *X322,"")</f>
        <v/>
      </c>
      <c r="AD322" s="7">
        <f t="shared" si="45"/>
        <v>0</v>
      </c>
      <c r="AE322">
        <f>'DL 1'!F323</f>
        <v>0</v>
      </c>
      <c r="AF322" t="str">
        <f>IFERROR(VLOOKUP(Y322,Data!$G$65:$K$79,4,0),"")</f>
        <v/>
      </c>
      <c r="AG322" s="51" t="e">
        <f>#REF!</f>
        <v>#REF!</v>
      </c>
      <c r="AK322">
        <f t="shared" si="46"/>
        <v>0</v>
      </c>
      <c r="AL322">
        <f t="shared" si="47"/>
        <v>0</v>
      </c>
      <c r="AM322" s="70">
        <f t="shared" si="48"/>
        <v>0</v>
      </c>
      <c r="AN322" s="7" t="b">
        <f t="shared" si="49"/>
        <v>0</v>
      </c>
    </row>
    <row r="323" spans="1:40" x14ac:dyDescent="0.3">
      <c r="A323" s="50">
        <f>IF(D323="A",_xlfn.IFNA(INDEX(Data!$H$24:$J$28,MATCH('DL 1'!E324,Data!$G$24:$G$28,1),MATCH('DL 1'!D324,Data!$H$23:$J$23,1)),0),0)</f>
        <v>0</v>
      </c>
      <c r="B323">
        <f>IF('DL 1'!F324="Y",Q323,0)</f>
        <v>0</v>
      </c>
      <c r="C323" t="e">
        <f>_xlfn.IFNA(INDEX(Data!$H$24:$J$28,MATCH(#REF!,Data!$G$24:$G$28,1),MATCH(#REF!,Data!$H$23:$J$23,1)),0)</f>
        <v>#REF!</v>
      </c>
      <c r="D323" t="str">
        <f>RIGHT(TRIM('DL 1'!G324),1)</f>
        <v/>
      </c>
      <c r="E323" s="8">
        <f>'DL 1'!E324*'DL 1'!D324</f>
        <v>0</v>
      </c>
      <c r="F323" t="str">
        <f>_xlfn.IFNA(VLOOKUP(TRIM('DL 1'!G324),Data!$A:$C,3,0),"")</f>
        <v/>
      </c>
      <c r="G323" s="7">
        <f>'DL 1'!E324</f>
        <v>0</v>
      </c>
      <c r="H323" s="21">
        <f>_xlfn.IFNA(VLOOKUP(TRIM('DL 1'!G324),Data!$A:$D,4,0),0)</f>
        <v>0</v>
      </c>
      <c r="I323">
        <f>_xlfn.IFNA(INDEX(Data!$G$5:$K$10,MATCH('DL 1'!D324,Data!$F$5:$F$10,1),MATCH(_xlfn.SINGLE(#REF!),Data!$G$4:$K$4,1)),0)</f>
        <v>0</v>
      </c>
      <c r="J323">
        <f>_xlfn.IFNA(IF(VLOOKUP(TRIM('DL 1'!G324),Data!$A:$C,3,0)="ST1",H323*I323*G323,IF(VLOOKUP(TRIM('DL 1'!G324),Data!$A:$C,3,0)="IR0",H323*G323,MIN(H323:I323)*G323)),0)</f>
        <v>0</v>
      </c>
      <c r="K323" t="e">
        <f>_xlfn.IFNA(VLOOKUP(TRIM(#REF!),Data!$A:$D,4,0)*#REF!,0)</f>
        <v>#REF!</v>
      </c>
      <c r="L323">
        <f>IF(TRIM('DL 1'!G324)="EDCLNHT0IRNLI",20000,0)</f>
        <v>0</v>
      </c>
      <c r="M323">
        <f>IF(ISERROR(MATCH('DL 1'!A324,#REF!,0)),0,J323*2)</f>
        <v>0</v>
      </c>
      <c r="N323" t="e">
        <f>#REF!</f>
        <v>#REF!</v>
      </c>
      <c r="O323">
        <f>_xlfn.IFNA(VLOOKUP(RIGHT(VLOOKUP(TRIM('DL 1'!G324),Data!$A:$B,2,0),1),Data!$L$23:$M$30,2,0),0)</f>
        <v>0</v>
      </c>
      <c r="P323">
        <f t="shared" si="50"/>
        <v>0</v>
      </c>
      <c r="Q323" s="7" t="b">
        <f t="shared" ref="Q323:Q335" si="51">IF(AND(P323=1,S323&lt;15),10000,IF(AND(P323=1,S323&gt;=15,S323&lt;18),15000,IF(AND(P323=1,S323&gt;=18),20000,(IF(AND(P323=2,S323&lt;15),18000,IF(AND(P323=2,S323&gt;=15,S323&lt;18),23000,IF(AND(P323=2,S323&gt;=18),28000,IF(AND(P323=3,S323&lt;15),26000,IF(AND(P323=3,S323&gt;=15,S323&lt;18),31000,IF(AND(P323=3,S323&gt;=18),36000,IF(AND(P323=4,S323&lt;15),34000,IF(AND(P323=4,S323&gt;=15,S323&lt;18),39000,IF(AND(P323=4,S323&gt;=18),44000)))))))))))))</f>
        <v>0</v>
      </c>
      <c r="R323" s="27">
        <f>INCENTIVE!$E$8</f>
        <v>130000000</v>
      </c>
      <c r="S323">
        <f>'DL 1'!D324</f>
        <v>0</v>
      </c>
      <c r="T323" t="str">
        <f t="shared" ref="T323:T386" si="52">(IF(S323&gt;=24,"5",IF(S323&gt;=18,"4",IF(S323&gt;=15,"3",IF(S323&gt;=12,"2","1")))))</f>
        <v>1</v>
      </c>
      <c r="V323" t="str">
        <f t="shared" ref="V323:V335" si="53">(IF(S323&gt;=12,"6",IF(S323&gt;=9,"5",IF(S323&gt;=8,"4",IF(S323&gt;=7,"3",IF(S323=6,"2","1"))))))</f>
        <v>1</v>
      </c>
      <c r="W323">
        <f t="shared" ref="W323:W386" si="54">IF(AND(V323="6",R323&gt;=7.7),115%,IF(AND(V323="6",R323&gt;=7.5),105%,IF(AND(V323="6",R323&gt;=7.3),100%,IF(AND(V323="6",R323&gt;=7),100%,IF(AND(V323="6",R323&lt;7),100%,IF(AND(V323="5",R323&gt;=7.7),110%,IF(AND(V323="5",R323&gt;=7.5),100%,IF(AND(V323="5",R323&gt;=7.3),100%,IF(AND(V323="5",R323&gt;=7),100%,IF(AND(V323="5",R323&lt;7),100%,IF(AND(V323="4",R323&gt;=7.7),105%,IF(AND(V323="4",R323&gt;=7.5),100%,IF(AND(V323="4",R323&gt;=7.3),95%,IF(AND(V323="4",R323&gt;=7),90%,IF(AND(V323="4",R323&lt;7),80%,IF(AND(V323="3",R323&gt;=7.7),100%,IF(AND(V323="3",R323&gt;=7.5),90%,IF(AND(V323="3",R323&gt;=7.3),80%,IF(AND(V323="3",R323&gt;=7),70%,IF(AND(V323="3",R323&lt;7),60%,IF(AND(V323="2",R323&gt;=7.7),60%,IF(AND(V323="2",R323&gt;=7.5),50%,IF(AND(V323="2",R323&gt;=7.3),35%,IF(AND(V323="2",R323&gt;=7),35%,IF(AND(V323="2",R323&lt;7),25%,25%)))))))))))))))))))))))))</f>
        <v>0.25</v>
      </c>
      <c r="X323" s="7">
        <f>'DL 1'!E324</f>
        <v>0</v>
      </c>
      <c r="Y323" s="69">
        <f>'DL 1'!G324</f>
        <v>0</v>
      </c>
      <c r="AC323" t="str">
        <f>IFERROR(VLOOKUP(Y323,Data!$G$65:$K$79,2,0) *X323,"")</f>
        <v/>
      </c>
      <c r="AD323" s="7">
        <f t="shared" ref="AD323:AD386" si="55">SUM(AC323)</f>
        <v>0</v>
      </c>
      <c r="AE323">
        <f>'DL 1'!F324</f>
        <v>0</v>
      </c>
      <c r="AF323" t="str">
        <f>IFERROR(VLOOKUP(Y323,Data!$G$65:$K$79,4,0),"")</f>
        <v/>
      </c>
      <c r="AG323" s="51" t="e">
        <f>#REF!</f>
        <v>#REF!</v>
      </c>
      <c r="AK323">
        <f t="shared" ref="AK323:AK386" si="56">IF(G323&lt;1,0,IF(G323&lt;12000000,1,IF(AND(G323&gt;=12000000,G323&lt;25000000),2,IF(AND(G323&gt;=25000000,G323&lt;50000000),3,IF(AND(G323&gt;=50000000),4,)))))</f>
        <v>0</v>
      </c>
      <c r="AL323">
        <f t="shared" ref="AL323:AL386" si="57">IF(AND(S323&lt;12,Y323="A"),0.9,IF(AND(S323&lt;12,Y323="B"),0.7,IF(AND(S323&lt;12,Y323="C"),0,IF(AND(S323&lt;12,Y323="D"),0,IF(AND(S323&gt;=12,S323&lt;15,Y323="A"),1.2,IF(AND(S323&gt;=12,S323&lt;15,Y323="B"),1,IF(AND(S323&gt;=12,S323&lt;15,Y323="C"),0.1,IF(AND(S323&gt;=12,S323&lt;15,Y323="D"),0,IF(AND(S323&gt;=15,S323&lt;18,Y323="A"),1.3,IF(AND(S323&gt;=15,S323&lt;18,Y323="B"),1.1,IF(AND(S323&gt;=15,S323&lt;18,Y323="C"),0.3,IF(AND(S323&gt;=15,S323&lt;18,Y323="D"),0,IF(AND(S323&gt;=18,S323&lt;24,Y323="A"),1.5,IF(AND(S323&gt;=18,S323&lt;24,Y323="B"),1.3,IF(AND(S323&gt;=18,S323&lt;24,Y323="C"),0.4,IF(AND(S323&gt;=18,S323&lt;24,Y323="D"),0,IF(AND(S323&gt;=24,Y323="A"),1.6,IF(AND(S323&gt;=24,Y323="B"),1.4,IF(AND(S323&gt;=24,Y323="C"),0.5,IF(AND(S323&gt;=24,Y323="D"),0,))))))))))))))))))))</f>
        <v>0</v>
      </c>
      <c r="AM323" s="70">
        <f t="shared" ref="AM323:AM386" si="58">X323*(AL323/100)</f>
        <v>0</v>
      </c>
      <c r="AN323" s="7" t="b">
        <f t="shared" ref="AN323:AN386" si="59">Q323</f>
        <v>0</v>
      </c>
    </row>
    <row r="324" spans="1:40" x14ac:dyDescent="0.3">
      <c r="A324" s="50">
        <f>IF(D324="A",_xlfn.IFNA(INDEX(Data!$H$24:$J$28,MATCH('DL 1'!E325,Data!$G$24:$G$28,1),MATCH('DL 1'!D325,Data!$H$23:$J$23,1)),0),0)</f>
        <v>0</v>
      </c>
      <c r="B324">
        <f>IF('DL 1'!F325="Y",Q324,0)</f>
        <v>0</v>
      </c>
      <c r="C324" t="e">
        <f>_xlfn.IFNA(INDEX(Data!$H$24:$J$28,MATCH(#REF!,Data!$G$24:$G$28,1),MATCH(#REF!,Data!$H$23:$J$23,1)),0)</f>
        <v>#REF!</v>
      </c>
      <c r="D324" t="str">
        <f>RIGHT(TRIM('DL 1'!G325),1)</f>
        <v/>
      </c>
      <c r="E324" s="8">
        <f>'DL 1'!E325*'DL 1'!D325</f>
        <v>0</v>
      </c>
      <c r="F324" t="str">
        <f>_xlfn.IFNA(VLOOKUP(TRIM('DL 1'!G325),Data!$A:$C,3,0),"")</f>
        <v/>
      </c>
      <c r="G324" s="7">
        <f>'DL 1'!E325</f>
        <v>0</v>
      </c>
      <c r="H324" s="21">
        <f>_xlfn.IFNA(VLOOKUP(TRIM('DL 1'!G325),Data!$A:$D,4,0),0)</f>
        <v>0</v>
      </c>
      <c r="I324">
        <f>_xlfn.IFNA(INDEX(Data!$G$5:$K$10,MATCH('DL 1'!D325,Data!$F$5:$F$10,1),MATCH(_xlfn.SINGLE(#REF!),Data!$G$4:$K$4,1)),0)</f>
        <v>0</v>
      </c>
      <c r="J324">
        <f>_xlfn.IFNA(IF(VLOOKUP(TRIM('DL 1'!G325),Data!$A:$C,3,0)="ST1",H324*I324*G324,IF(VLOOKUP(TRIM('DL 1'!G325),Data!$A:$C,3,0)="IR0",H324*G324,MIN(H324:I324)*G324)),0)</f>
        <v>0</v>
      </c>
      <c r="K324" t="e">
        <f>_xlfn.IFNA(VLOOKUP(TRIM(#REF!),Data!$A:$D,4,0)*#REF!,0)</f>
        <v>#REF!</v>
      </c>
      <c r="L324">
        <f>IF(TRIM('DL 1'!G325)="EDCLNHT0IRNLI",20000,0)</f>
        <v>0</v>
      </c>
      <c r="M324">
        <f>IF(ISERROR(MATCH('DL 1'!A325,#REF!,0)),0,J324*2)</f>
        <v>0</v>
      </c>
      <c r="N324" t="e">
        <f>#REF!</f>
        <v>#REF!</v>
      </c>
      <c r="O324">
        <f>_xlfn.IFNA(VLOOKUP(RIGHT(VLOOKUP(TRIM('DL 1'!G325),Data!$A:$B,2,0),1),Data!$L$23:$M$30,2,0),0)</f>
        <v>0</v>
      </c>
      <c r="P324">
        <f t="shared" ref="P324:P334" si="60">IF(G324&lt;1,0,IF(G324&lt;12000000,1,IF(AND(G324&gt;=12000000,G324&lt;25000000),2,IF(AND(G324&gt;=25000000,G324&lt;50000000),3,IF(AND(G324&gt;=50000000),4,)))))</f>
        <v>0</v>
      </c>
      <c r="Q324" s="7" t="b">
        <f t="shared" si="51"/>
        <v>0</v>
      </c>
      <c r="R324" s="27">
        <f>INCENTIVE!$E$8</f>
        <v>130000000</v>
      </c>
      <c r="S324">
        <f>'DL 1'!D325</f>
        <v>0</v>
      </c>
      <c r="T324" t="str">
        <f t="shared" si="52"/>
        <v>1</v>
      </c>
      <c r="V324" t="str">
        <f t="shared" si="53"/>
        <v>1</v>
      </c>
      <c r="W324">
        <f t="shared" si="54"/>
        <v>0.25</v>
      </c>
      <c r="X324" s="7">
        <f>'DL 1'!E325</f>
        <v>0</v>
      </c>
      <c r="Y324" s="69">
        <f>'DL 1'!G325</f>
        <v>0</v>
      </c>
      <c r="AC324" t="str">
        <f>IFERROR(VLOOKUP(Y324,Data!$G$65:$K$79,2,0) *X324,"")</f>
        <v/>
      </c>
      <c r="AD324" s="7">
        <f t="shared" si="55"/>
        <v>0</v>
      </c>
      <c r="AE324">
        <f>'DL 1'!F325</f>
        <v>0</v>
      </c>
      <c r="AF324" t="str">
        <f>IFERROR(VLOOKUP(Y324,Data!$G$65:$K$79,4,0),"")</f>
        <v/>
      </c>
      <c r="AG324" s="51" t="e">
        <f>#REF!</f>
        <v>#REF!</v>
      </c>
      <c r="AK324">
        <f t="shared" si="56"/>
        <v>0</v>
      </c>
      <c r="AL324">
        <f t="shared" si="57"/>
        <v>0</v>
      </c>
      <c r="AM324" s="70">
        <f t="shared" si="58"/>
        <v>0</v>
      </c>
      <c r="AN324" s="7" t="b">
        <f t="shared" si="59"/>
        <v>0</v>
      </c>
    </row>
    <row r="325" spans="1:40" x14ac:dyDescent="0.3">
      <c r="A325" s="50">
        <f>IF(D325="A",_xlfn.IFNA(INDEX(Data!$H$24:$J$28,MATCH('DL 1'!E326,Data!$G$24:$G$28,1),MATCH('DL 1'!D326,Data!$H$23:$J$23,1)),0),0)</f>
        <v>0</v>
      </c>
      <c r="B325">
        <f>IF('DL 1'!F326="Y",Q325,0)</f>
        <v>0</v>
      </c>
      <c r="C325" t="e">
        <f>_xlfn.IFNA(INDEX(Data!$H$24:$J$28,MATCH(#REF!,Data!$G$24:$G$28,1),MATCH(#REF!,Data!$H$23:$J$23,1)),0)</f>
        <v>#REF!</v>
      </c>
      <c r="D325" t="str">
        <f>RIGHT(TRIM('DL 1'!G326),1)</f>
        <v/>
      </c>
      <c r="E325" s="8">
        <f>'DL 1'!E326*'DL 1'!D326</f>
        <v>0</v>
      </c>
      <c r="F325" t="str">
        <f>_xlfn.IFNA(VLOOKUP(TRIM('DL 1'!G326),Data!$A:$C,3,0),"")</f>
        <v/>
      </c>
      <c r="G325" s="7">
        <f>'DL 1'!E326</f>
        <v>0</v>
      </c>
      <c r="H325" s="21">
        <f>_xlfn.IFNA(VLOOKUP(TRIM('DL 1'!G326),Data!$A:$D,4,0),0)</f>
        <v>0</v>
      </c>
      <c r="I325">
        <f>_xlfn.IFNA(INDEX(Data!$G$5:$K$10,MATCH('DL 1'!D326,Data!$F$5:$F$10,1),MATCH(_xlfn.SINGLE(#REF!),Data!$G$4:$K$4,1)),0)</f>
        <v>0</v>
      </c>
      <c r="J325">
        <f>_xlfn.IFNA(IF(VLOOKUP(TRIM('DL 1'!G326),Data!$A:$C,3,0)="ST1",H325*I325*G325,IF(VLOOKUP(TRIM('DL 1'!G326),Data!$A:$C,3,0)="IR0",H325*G325,MIN(H325:I325)*G325)),0)</f>
        <v>0</v>
      </c>
      <c r="K325" t="e">
        <f>_xlfn.IFNA(VLOOKUP(TRIM(#REF!),Data!$A:$D,4,0)*#REF!,0)</f>
        <v>#REF!</v>
      </c>
      <c r="L325">
        <f>IF(TRIM('DL 1'!G326)="EDCLNHT0IRNLI",20000,0)</f>
        <v>0</v>
      </c>
      <c r="M325">
        <f>IF(ISERROR(MATCH('DL 1'!A326,#REF!,0)),0,J325*2)</f>
        <v>0</v>
      </c>
      <c r="N325" t="e">
        <f>#REF!</f>
        <v>#REF!</v>
      </c>
      <c r="O325">
        <f>_xlfn.IFNA(VLOOKUP(RIGHT(VLOOKUP(TRIM('DL 1'!G326),Data!$A:$B,2,0),1),Data!$L$23:$M$30,2,0),0)</f>
        <v>0</v>
      </c>
      <c r="P325">
        <f t="shared" si="60"/>
        <v>0</v>
      </c>
      <c r="Q325" s="7" t="b">
        <f t="shared" si="51"/>
        <v>0</v>
      </c>
      <c r="R325" s="27">
        <f>INCENTIVE!$E$8</f>
        <v>130000000</v>
      </c>
      <c r="S325">
        <f>'DL 1'!D326</f>
        <v>0</v>
      </c>
      <c r="T325" t="str">
        <f t="shared" si="52"/>
        <v>1</v>
      </c>
      <c r="V325" t="str">
        <f t="shared" si="53"/>
        <v>1</v>
      </c>
      <c r="W325">
        <f t="shared" si="54"/>
        <v>0.25</v>
      </c>
      <c r="X325" s="7">
        <f>'DL 1'!E326</f>
        <v>0</v>
      </c>
      <c r="Y325" s="69">
        <f>'DL 1'!G326</f>
        <v>0</v>
      </c>
      <c r="AC325" t="str">
        <f>IFERROR(VLOOKUP(Y325,Data!$G$65:$K$79,2,0) *X325,"")</f>
        <v/>
      </c>
      <c r="AD325" s="7">
        <f t="shared" si="55"/>
        <v>0</v>
      </c>
      <c r="AE325">
        <f>'DL 1'!F326</f>
        <v>0</v>
      </c>
      <c r="AF325" t="str">
        <f>IFERROR(VLOOKUP(Y325,Data!$G$65:$K$79,4,0),"")</f>
        <v/>
      </c>
      <c r="AG325" s="51" t="e">
        <f>#REF!</f>
        <v>#REF!</v>
      </c>
      <c r="AK325">
        <f t="shared" si="56"/>
        <v>0</v>
      </c>
      <c r="AL325">
        <f t="shared" si="57"/>
        <v>0</v>
      </c>
      <c r="AM325" s="70">
        <f t="shared" si="58"/>
        <v>0</v>
      </c>
      <c r="AN325" s="7" t="b">
        <f t="shared" si="59"/>
        <v>0</v>
      </c>
    </row>
    <row r="326" spans="1:40" x14ac:dyDescent="0.3">
      <c r="A326" s="50">
        <f>IF(D326="A",_xlfn.IFNA(INDEX(Data!$H$24:$J$28,MATCH('DL 1'!E327,Data!$G$24:$G$28,1),MATCH('DL 1'!D327,Data!$H$23:$J$23,1)),0),0)</f>
        <v>0</v>
      </c>
      <c r="B326">
        <f>IF('DL 1'!F327="Y",Q326,0)</f>
        <v>0</v>
      </c>
      <c r="C326" t="e">
        <f>_xlfn.IFNA(INDEX(Data!$H$24:$J$28,MATCH(#REF!,Data!$G$24:$G$28,1),MATCH(#REF!,Data!$H$23:$J$23,1)),0)</f>
        <v>#REF!</v>
      </c>
      <c r="D326" t="str">
        <f>RIGHT(TRIM('DL 1'!G327),1)</f>
        <v/>
      </c>
      <c r="E326" s="8">
        <f>'DL 1'!E327*'DL 1'!D327</f>
        <v>0</v>
      </c>
      <c r="F326" t="str">
        <f>_xlfn.IFNA(VLOOKUP(TRIM('DL 1'!G327),Data!$A:$C,3,0),"")</f>
        <v/>
      </c>
      <c r="G326" s="7">
        <f>'DL 1'!E327</f>
        <v>0</v>
      </c>
      <c r="H326" s="21">
        <f>_xlfn.IFNA(VLOOKUP(TRIM('DL 1'!G327),Data!$A:$D,4,0),0)</f>
        <v>0</v>
      </c>
      <c r="I326">
        <f>_xlfn.IFNA(INDEX(Data!$G$5:$K$10,MATCH('DL 1'!D327,Data!$F$5:$F$10,1),MATCH(_xlfn.SINGLE(#REF!),Data!$G$4:$K$4,1)),0)</f>
        <v>0</v>
      </c>
      <c r="J326">
        <f>_xlfn.IFNA(IF(VLOOKUP(TRIM('DL 1'!G327),Data!$A:$C,3,0)="ST1",H326*I326*G326,IF(VLOOKUP(TRIM('DL 1'!G327),Data!$A:$C,3,0)="IR0",H326*G326,MIN(H326:I326)*G326)),0)</f>
        <v>0</v>
      </c>
      <c r="K326" t="e">
        <f>_xlfn.IFNA(VLOOKUP(TRIM(#REF!),Data!$A:$D,4,0)*#REF!,0)</f>
        <v>#REF!</v>
      </c>
      <c r="L326">
        <f>IF(TRIM('DL 1'!G327)="EDCLNHT0IRNLI",20000,0)</f>
        <v>0</v>
      </c>
      <c r="M326">
        <f>IF(ISERROR(MATCH('DL 1'!A327,#REF!,0)),0,J326*2)</f>
        <v>0</v>
      </c>
      <c r="N326" t="e">
        <f>#REF!</f>
        <v>#REF!</v>
      </c>
      <c r="O326">
        <f>_xlfn.IFNA(VLOOKUP(RIGHT(VLOOKUP(TRIM('DL 1'!G327),Data!$A:$B,2,0),1),Data!$L$23:$M$30,2,0),0)</f>
        <v>0</v>
      </c>
      <c r="P326">
        <f t="shared" si="60"/>
        <v>0</v>
      </c>
      <c r="Q326" s="7" t="b">
        <f t="shared" si="51"/>
        <v>0</v>
      </c>
      <c r="R326" s="27">
        <f>INCENTIVE!$E$8</f>
        <v>130000000</v>
      </c>
      <c r="S326">
        <f>'DL 1'!D327</f>
        <v>0</v>
      </c>
      <c r="T326" t="str">
        <f t="shared" si="52"/>
        <v>1</v>
      </c>
      <c r="V326" t="str">
        <f t="shared" si="53"/>
        <v>1</v>
      </c>
      <c r="W326">
        <f t="shared" si="54"/>
        <v>0.25</v>
      </c>
      <c r="X326" s="7">
        <f>'DL 1'!E327</f>
        <v>0</v>
      </c>
      <c r="Y326" s="69">
        <f>'DL 1'!G327</f>
        <v>0</v>
      </c>
      <c r="AC326" t="str">
        <f>IFERROR(VLOOKUP(Y326,Data!$G$65:$K$79,2,0) *X326,"")</f>
        <v/>
      </c>
      <c r="AD326" s="7">
        <f t="shared" si="55"/>
        <v>0</v>
      </c>
      <c r="AE326">
        <f>'DL 1'!F327</f>
        <v>0</v>
      </c>
      <c r="AF326" t="str">
        <f>IFERROR(VLOOKUP(Y326,Data!$G$65:$K$79,4,0),"")</f>
        <v/>
      </c>
      <c r="AG326" s="51" t="e">
        <f>#REF!</f>
        <v>#REF!</v>
      </c>
      <c r="AK326">
        <f t="shared" si="56"/>
        <v>0</v>
      </c>
      <c r="AL326">
        <f t="shared" si="57"/>
        <v>0</v>
      </c>
      <c r="AM326" s="70">
        <f t="shared" si="58"/>
        <v>0</v>
      </c>
      <c r="AN326" s="7" t="b">
        <f t="shared" si="59"/>
        <v>0</v>
      </c>
    </row>
    <row r="327" spans="1:40" x14ac:dyDescent="0.3">
      <c r="A327" s="50">
        <f>IF(D327="A",_xlfn.IFNA(INDEX(Data!$H$24:$J$28,MATCH('DL 1'!E328,Data!$G$24:$G$28,1),MATCH('DL 1'!D328,Data!$H$23:$J$23,1)),0),0)</f>
        <v>0</v>
      </c>
      <c r="B327">
        <f>IF('DL 1'!F328="Y",Q327,0)</f>
        <v>0</v>
      </c>
      <c r="C327" t="e">
        <f>_xlfn.IFNA(INDEX(Data!$H$24:$J$28,MATCH(#REF!,Data!$G$24:$G$28,1),MATCH(#REF!,Data!$H$23:$J$23,1)),0)</f>
        <v>#REF!</v>
      </c>
      <c r="D327" t="str">
        <f>RIGHT(TRIM('DL 1'!G328),1)</f>
        <v/>
      </c>
      <c r="E327" s="8">
        <f>'DL 1'!E328*'DL 1'!D328</f>
        <v>0</v>
      </c>
      <c r="F327" t="str">
        <f>_xlfn.IFNA(VLOOKUP(TRIM('DL 1'!G328),Data!$A:$C,3,0),"")</f>
        <v/>
      </c>
      <c r="G327" s="7">
        <f>'DL 1'!E328</f>
        <v>0</v>
      </c>
      <c r="H327" s="21">
        <f>_xlfn.IFNA(VLOOKUP(TRIM('DL 1'!G328),Data!$A:$D,4,0),0)</f>
        <v>0</v>
      </c>
      <c r="I327">
        <f>_xlfn.IFNA(INDEX(Data!$G$5:$K$10,MATCH('DL 1'!D328,Data!$F$5:$F$10,1),MATCH(_xlfn.SINGLE(#REF!),Data!$G$4:$K$4,1)),0)</f>
        <v>0</v>
      </c>
      <c r="J327">
        <f>_xlfn.IFNA(IF(VLOOKUP(TRIM('DL 1'!G328),Data!$A:$C,3,0)="ST1",H327*I327*G327,IF(VLOOKUP(TRIM('DL 1'!G328),Data!$A:$C,3,0)="IR0",H327*G327,MIN(H327:I327)*G327)),0)</f>
        <v>0</v>
      </c>
      <c r="K327" t="e">
        <f>_xlfn.IFNA(VLOOKUP(TRIM(#REF!),Data!$A:$D,4,0)*#REF!,0)</f>
        <v>#REF!</v>
      </c>
      <c r="L327">
        <f>IF(TRIM('DL 1'!G328)="EDCLNHT0IRNLI",20000,0)</f>
        <v>0</v>
      </c>
      <c r="M327">
        <f>IF(ISERROR(MATCH('DL 1'!A328,#REF!,0)),0,J327*2)</f>
        <v>0</v>
      </c>
      <c r="N327" t="e">
        <f>#REF!</f>
        <v>#REF!</v>
      </c>
      <c r="O327">
        <f>_xlfn.IFNA(VLOOKUP(RIGHT(VLOOKUP(TRIM('DL 1'!G328),Data!$A:$B,2,0),1),Data!$L$23:$M$30,2,0),0)</f>
        <v>0</v>
      </c>
      <c r="P327">
        <f t="shared" si="60"/>
        <v>0</v>
      </c>
      <c r="Q327" s="7" t="b">
        <f t="shared" si="51"/>
        <v>0</v>
      </c>
      <c r="R327" s="27">
        <f>INCENTIVE!$E$8</f>
        <v>130000000</v>
      </c>
      <c r="S327">
        <f>'DL 1'!D328</f>
        <v>0</v>
      </c>
      <c r="T327" t="str">
        <f t="shared" si="52"/>
        <v>1</v>
      </c>
      <c r="V327" t="str">
        <f t="shared" si="53"/>
        <v>1</v>
      </c>
      <c r="W327">
        <f t="shared" si="54"/>
        <v>0.25</v>
      </c>
      <c r="X327" s="7">
        <f>'DL 1'!E328</f>
        <v>0</v>
      </c>
      <c r="Y327" s="69">
        <f>'DL 1'!G328</f>
        <v>0</v>
      </c>
      <c r="AC327" t="str">
        <f>IFERROR(VLOOKUP(Y327,Data!$G$65:$K$79,2,0) *X327,"")</f>
        <v/>
      </c>
      <c r="AD327" s="7">
        <f t="shared" si="55"/>
        <v>0</v>
      </c>
      <c r="AE327">
        <f>'DL 1'!F328</f>
        <v>0</v>
      </c>
      <c r="AF327" t="str">
        <f>IFERROR(VLOOKUP(Y327,Data!$G$65:$K$79,4,0),"")</f>
        <v/>
      </c>
      <c r="AG327" s="51" t="e">
        <f>#REF!</f>
        <v>#REF!</v>
      </c>
      <c r="AK327">
        <f t="shared" si="56"/>
        <v>0</v>
      </c>
      <c r="AL327">
        <f t="shared" si="57"/>
        <v>0</v>
      </c>
      <c r="AM327" s="70">
        <f t="shared" si="58"/>
        <v>0</v>
      </c>
      <c r="AN327" s="7" t="b">
        <f t="shared" si="59"/>
        <v>0</v>
      </c>
    </row>
    <row r="328" spans="1:40" x14ac:dyDescent="0.3">
      <c r="B328">
        <f>IF('DL 1'!F329="Y",Q328,0)</f>
        <v>0</v>
      </c>
      <c r="P328">
        <f t="shared" si="60"/>
        <v>0</v>
      </c>
      <c r="Q328" s="7" t="b">
        <f t="shared" si="51"/>
        <v>0</v>
      </c>
      <c r="R328" s="27">
        <f>INCENTIVE!$E$8</f>
        <v>130000000</v>
      </c>
      <c r="S328">
        <f>'DL 1'!D329</f>
        <v>0</v>
      </c>
      <c r="T328" t="str">
        <f t="shared" si="52"/>
        <v>1</v>
      </c>
      <c r="V328" t="str">
        <f t="shared" si="53"/>
        <v>1</v>
      </c>
      <c r="W328">
        <f t="shared" si="54"/>
        <v>0.25</v>
      </c>
      <c r="X328" s="7">
        <f>'DL 1'!E329</f>
        <v>0</v>
      </c>
      <c r="Y328" s="69">
        <f>'DL 1'!G329</f>
        <v>0</v>
      </c>
      <c r="AC328" t="str">
        <f>IFERROR(VLOOKUP(Y328,Data!$G$65:$K$79,2,0) *X328,"")</f>
        <v/>
      </c>
      <c r="AD328" s="7">
        <f t="shared" si="55"/>
        <v>0</v>
      </c>
      <c r="AE328">
        <f>'DL 1'!F329</f>
        <v>0</v>
      </c>
      <c r="AF328" t="str">
        <f>IFERROR(VLOOKUP(Y328,Data!$G$65:$K$79,4,0),"")</f>
        <v/>
      </c>
      <c r="AG328" s="51" t="e">
        <f>#REF!</f>
        <v>#REF!</v>
      </c>
      <c r="AK328">
        <f t="shared" si="56"/>
        <v>0</v>
      </c>
      <c r="AL328">
        <f t="shared" si="57"/>
        <v>0</v>
      </c>
      <c r="AM328" s="70">
        <f t="shared" si="58"/>
        <v>0</v>
      </c>
      <c r="AN328" s="7" t="b">
        <f t="shared" si="59"/>
        <v>0</v>
      </c>
    </row>
    <row r="329" spans="1:40" x14ac:dyDescent="0.3">
      <c r="P329">
        <f t="shared" si="60"/>
        <v>0</v>
      </c>
      <c r="Q329" s="7" t="b">
        <f t="shared" si="51"/>
        <v>0</v>
      </c>
      <c r="R329" s="27">
        <f>INCENTIVE!$E$8</f>
        <v>130000000</v>
      </c>
      <c r="S329">
        <f>'DL 1'!D330</f>
        <v>0</v>
      </c>
      <c r="T329" t="str">
        <f t="shared" si="52"/>
        <v>1</v>
      </c>
      <c r="V329" t="str">
        <f t="shared" si="53"/>
        <v>1</v>
      </c>
      <c r="W329">
        <f t="shared" si="54"/>
        <v>0.25</v>
      </c>
      <c r="X329" s="7">
        <f>'DL 1'!E330</f>
        <v>0</v>
      </c>
      <c r="Y329" s="69">
        <f>'DL 1'!G330</f>
        <v>0</v>
      </c>
      <c r="AC329" t="str">
        <f>IFERROR(VLOOKUP(Y329,Data!$G$65:$K$79,2,0) *X329,"")</f>
        <v/>
      </c>
      <c r="AD329" s="7">
        <f t="shared" si="55"/>
        <v>0</v>
      </c>
      <c r="AE329">
        <f>'DL 1'!F330</f>
        <v>0</v>
      </c>
      <c r="AF329" t="str">
        <f>IFERROR(VLOOKUP(Y329,Data!$G$65:$K$79,4,0),"")</f>
        <v/>
      </c>
      <c r="AG329" s="51" t="e">
        <f>#REF!</f>
        <v>#REF!</v>
      </c>
      <c r="AK329">
        <f t="shared" si="56"/>
        <v>0</v>
      </c>
      <c r="AL329">
        <f t="shared" si="57"/>
        <v>0</v>
      </c>
      <c r="AM329" s="70">
        <f t="shared" si="58"/>
        <v>0</v>
      </c>
      <c r="AN329" s="7" t="b">
        <f t="shared" si="59"/>
        <v>0</v>
      </c>
    </row>
    <row r="330" spans="1:40" x14ac:dyDescent="0.3">
      <c r="P330">
        <f t="shared" si="60"/>
        <v>0</v>
      </c>
      <c r="Q330" s="7" t="b">
        <f t="shared" si="51"/>
        <v>0</v>
      </c>
      <c r="R330" s="27">
        <f>INCENTIVE!$E$8</f>
        <v>130000000</v>
      </c>
      <c r="S330">
        <f>'DL 1'!D331</f>
        <v>0</v>
      </c>
      <c r="T330" t="str">
        <f t="shared" si="52"/>
        <v>1</v>
      </c>
      <c r="V330" t="str">
        <f t="shared" si="53"/>
        <v>1</v>
      </c>
      <c r="W330">
        <f t="shared" si="54"/>
        <v>0.25</v>
      </c>
      <c r="X330" s="7">
        <f>'DL 1'!E331</f>
        <v>0</v>
      </c>
      <c r="Y330" s="69">
        <f>'DL 1'!G331</f>
        <v>0</v>
      </c>
      <c r="AC330" t="str">
        <f>IFERROR(VLOOKUP(Y330,Data!$G$65:$K$79,2,0) *X330,"")</f>
        <v/>
      </c>
      <c r="AD330" s="7">
        <f t="shared" si="55"/>
        <v>0</v>
      </c>
      <c r="AE330">
        <f>'DL 1'!F331</f>
        <v>0</v>
      </c>
      <c r="AF330" t="str">
        <f>IFERROR(VLOOKUP(Y330,Data!$G$65:$K$79,4,0),"")</f>
        <v/>
      </c>
      <c r="AG330" s="51" t="e">
        <f>#REF!</f>
        <v>#REF!</v>
      </c>
      <c r="AK330">
        <f t="shared" si="56"/>
        <v>0</v>
      </c>
      <c r="AL330">
        <f t="shared" si="57"/>
        <v>0</v>
      </c>
      <c r="AM330" s="70">
        <f t="shared" si="58"/>
        <v>0</v>
      </c>
      <c r="AN330" s="7" t="b">
        <f t="shared" si="59"/>
        <v>0</v>
      </c>
    </row>
    <row r="331" spans="1:40" x14ac:dyDescent="0.3">
      <c r="P331">
        <f t="shared" si="60"/>
        <v>0</v>
      </c>
      <c r="Q331" s="7" t="b">
        <f t="shared" si="51"/>
        <v>0</v>
      </c>
      <c r="R331" s="27">
        <f>INCENTIVE!$E$8</f>
        <v>130000000</v>
      </c>
      <c r="S331">
        <f>'DL 1'!D332</f>
        <v>0</v>
      </c>
      <c r="T331" t="str">
        <f t="shared" si="52"/>
        <v>1</v>
      </c>
      <c r="V331" t="str">
        <f t="shared" si="53"/>
        <v>1</v>
      </c>
      <c r="W331">
        <f t="shared" si="54"/>
        <v>0.25</v>
      </c>
      <c r="X331" s="7">
        <f>'DL 1'!E332</f>
        <v>0</v>
      </c>
      <c r="Y331" s="69">
        <f>'DL 1'!G332</f>
        <v>0</v>
      </c>
      <c r="AC331" t="str">
        <f>IFERROR(VLOOKUP(Y331,Data!$G$65:$K$79,2,0) *X331,"")</f>
        <v/>
      </c>
      <c r="AD331" s="7">
        <f t="shared" si="55"/>
        <v>0</v>
      </c>
      <c r="AE331">
        <f>'DL 1'!F332</f>
        <v>0</v>
      </c>
      <c r="AF331" t="str">
        <f>IFERROR(VLOOKUP(Y331,Data!$G$65:$K$79,4,0),"")</f>
        <v/>
      </c>
      <c r="AG331" s="51" t="e">
        <f>#REF!</f>
        <v>#REF!</v>
      </c>
      <c r="AK331">
        <f t="shared" si="56"/>
        <v>0</v>
      </c>
      <c r="AL331">
        <f t="shared" si="57"/>
        <v>0</v>
      </c>
      <c r="AM331" s="70">
        <f t="shared" si="58"/>
        <v>0</v>
      </c>
      <c r="AN331" s="7" t="b">
        <f t="shared" si="59"/>
        <v>0</v>
      </c>
    </row>
    <row r="332" spans="1:40" x14ac:dyDescent="0.3">
      <c r="P332">
        <f t="shared" si="60"/>
        <v>0</v>
      </c>
      <c r="Q332" s="7" t="b">
        <f t="shared" si="51"/>
        <v>0</v>
      </c>
      <c r="R332" s="27">
        <f>INCENTIVE!$E$8</f>
        <v>130000000</v>
      </c>
      <c r="S332">
        <f>'DL 1'!D333</f>
        <v>0</v>
      </c>
      <c r="T332" t="str">
        <f t="shared" si="52"/>
        <v>1</v>
      </c>
      <c r="V332" t="str">
        <f t="shared" si="53"/>
        <v>1</v>
      </c>
      <c r="W332">
        <f t="shared" si="54"/>
        <v>0.25</v>
      </c>
      <c r="X332" s="7">
        <f>'DL 1'!E333</f>
        <v>0</v>
      </c>
      <c r="Y332" s="69">
        <f>'DL 1'!G333</f>
        <v>0</v>
      </c>
      <c r="AC332" t="str">
        <f>IFERROR(VLOOKUP(Y332,Data!$G$65:$K$79,2,0) *X332,"")</f>
        <v/>
      </c>
      <c r="AD332" s="7">
        <f t="shared" si="55"/>
        <v>0</v>
      </c>
      <c r="AE332">
        <f>'DL 1'!F333</f>
        <v>0</v>
      </c>
      <c r="AF332" t="str">
        <f>IFERROR(VLOOKUP(Y332,Data!$G$65:$K$79,4,0),"")</f>
        <v/>
      </c>
      <c r="AG332" s="51" t="e">
        <f>#REF!</f>
        <v>#REF!</v>
      </c>
      <c r="AK332">
        <f t="shared" si="56"/>
        <v>0</v>
      </c>
      <c r="AL332">
        <f t="shared" si="57"/>
        <v>0</v>
      </c>
      <c r="AM332" s="70">
        <f t="shared" si="58"/>
        <v>0</v>
      </c>
      <c r="AN332" s="7" t="b">
        <f t="shared" si="59"/>
        <v>0</v>
      </c>
    </row>
    <row r="333" spans="1:40" x14ac:dyDescent="0.3">
      <c r="P333">
        <f t="shared" si="60"/>
        <v>0</v>
      </c>
      <c r="Q333" s="7" t="b">
        <f t="shared" si="51"/>
        <v>0</v>
      </c>
      <c r="R333" s="27">
        <f>INCENTIVE!$E$8</f>
        <v>130000000</v>
      </c>
      <c r="S333">
        <f>'DL 1'!D334</f>
        <v>0</v>
      </c>
      <c r="T333" t="str">
        <f t="shared" si="52"/>
        <v>1</v>
      </c>
      <c r="V333" t="str">
        <f t="shared" si="53"/>
        <v>1</v>
      </c>
      <c r="W333">
        <f t="shared" si="54"/>
        <v>0.25</v>
      </c>
      <c r="X333" s="7">
        <f>'DL 1'!E334</f>
        <v>0</v>
      </c>
      <c r="Y333" s="69">
        <f>'DL 1'!G334</f>
        <v>0</v>
      </c>
      <c r="AC333" t="str">
        <f>IFERROR(VLOOKUP(Y333,Data!$G$65:$K$79,2,0) *X333,"")</f>
        <v/>
      </c>
      <c r="AD333" s="7">
        <f t="shared" si="55"/>
        <v>0</v>
      </c>
      <c r="AE333">
        <f>'DL 1'!F334</f>
        <v>0</v>
      </c>
      <c r="AF333" t="str">
        <f>IFERROR(VLOOKUP(Y333,Data!$G$65:$K$79,4,0),"")</f>
        <v/>
      </c>
      <c r="AG333" s="51" t="e">
        <f>#REF!</f>
        <v>#REF!</v>
      </c>
      <c r="AK333">
        <f t="shared" si="56"/>
        <v>0</v>
      </c>
      <c r="AL333">
        <f t="shared" si="57"/>
        <v>0</v>
      </c>
      <c r="AM333" s="70">
        <f t="shared" si="58"/>
        <v>0</v>
      </c>
      <c r="AN333" s="7" t="b">
        <f t="shared" si="59"/>
        <v>0</v>
      </c>
    </row>
    <row r="334" spans="1:40" x14ac:dyDescent="0.3">
      <c r="P334">
        <f t="shared" si="60"/>
        <v>0</v>
      </c>
      <c r="Q334" s="7" t="b">
        <f t="shared" si="51"/>
        <v>0</v>
      </c>
      <c r="R334" s="27">
        <f>INCENTIVE!$E$8</f>
        <v>130000000</v>
      </c>
      <c r="S334">
        <f>'DL 1'!D335</f>
        <v>0</v>
      </c>
      <c r="T334" t="str">
        <f t="shared" si="52"/>
        <v>1</v>
      </c>
      <c r="V334" t="str">
        <f t="shared" si="53"/>
        <v>1</v>
      </c>
      <c r="W334">
        <f t="shared" si="54"/>
        <v>0.25</v>
      </c>
      <c r="X334" s="7">
        <f>'DL 1'!E335</f>
        <v>0</v>
      </c>
      <c r="Y334" s="69">
        <f>'DL 1'!G335</f>
        <v>0</v>
      </c>
      <c r="AC334" t="str">
        <f>IFERROR(VLOOKUP(Y334,Data!$G$65:$K$79,2,0) *X334,"")</f>
        <v/>
      </c>
      <c r="AD334" s="7">
        <f t="shared" si="55"/>
        <v>0</v>
      </c>
      <c r="AE334">
        <f>'DL 1'!F335</f>
        <v>0</v>
      </c>
      <c r="AF334" t="str">
        <f>IFERROR(VLOOKUP(Y334,Data!$G$65:$K$79,4,0),"")</f>
        <v/>
      </c>
      <c r="AG334" s="51" t="e">
        <f>#REF!</f>
        <v>#REF!</v>
      </c>
      <c r="AK334">
        <f t="shared" si="56"/>
        <v>0</v>
      </c>
      <c r="AL334">
        <f t="shared" si="57"/>
        <v>0</v>
      </c>
      <c r="AM334" s="70">
        <f t="shared" si="58"/>
        <v>0</v>
      </c>
      <c r="AN334" s="7" t="b">
        <f t="shared" si="59"/>
        <v>0</v>
      </c>
    </row>
    <row r="335" spans="1:40" x14ac:dyDescent="0.3">
      <c r="Q335" s="7" t="b">
        <f t="shared" si="51"/>
        <v>0</v>
      </c>
      <c r="R335" s="27">
        <f>INCENTIVE!$E$8</f>
        <v>130000000</v>
      </c>
      <c r="T335" t="str">
        <f t="shared" si="52"/>
        <v>1</v>
      </c>
      <c r="V335" t="str">
        <f t="shared" si="53"/>
        <v>1</v>
      </c>
      <c r="W335">
        <f t="shared" si="54"/>
        <v>0.25</v>
      </c>
      <c r="X335" s="7">
        <f>'DL 1'!E336</f>
        <v>0</v>
      </c>
      <c r="Y335" s="69">
        <f>'DL 1'!G336</f>
        <v>0</v>
      </c>
      <c r="AC335" t="str">
        <f>IFERROR(VLOOKUP(Y335,Data!$G$65:$K$79,2,0) *X335,"")</f>
        <v/>
      </c>
      <c r="AD335" s="7">
        <f t="shared" si="55"/>
        <v>0</v>
      </c>
      <c r="AE335">
        <f>'DL 1'!F336</f>
        <v>0</v>
      </c>
      <c r="AF335" t="str">
        <f>IFERROR(VLOOKUP(Y335,Data!$G$65:$K$79,4,0),"")</f>
        <v/>
      </c>
      <c r="AG335" s="51" t="e">
        <f>#REF!</f>
        <v>#REF!</v>
      </c>
      <c r="AK335">
        <f t="shared" si="56"/>
        <v>0</v>
      </c>
      <c r="AL335">
        <f t="shared" si="57"/>
        <v>0</v>
      </c>
      <c r="AM335" s="70">
        <f t="shared" si="58"/>
        <v>0</v>
      </c>
      <c r="AN335" s="7" t="b">
        <f t="shared" si="59"/>
        <v>0</v>
      </c>
    </row>
    <row r="336" spans="1:40" x14ac:dyDescent="0.3">
      <c r="R336" s="27">
        <f>INCENTIVE!$E$8</f>
        <v>130000000</v>
      </c>
      <c r="T336" t="str">
        <f t="shared" si="52"/>
        <v>1</v>
      </c>
      <c r="W336">
        <f t="shared" si="54"/>
        <v>0.25</v>
      </c>
      <c r="X336" s="7">
        <f>'DL 1'!E337</f>
        <v>0</v>
      </c>
      <c r="Y336" s="69">
        <f>'DL 1'!G337</f>
        <v>0</v>
      </c>
      <c r="AC336" t="str">
        <f>IFERROR(VLOOKUP(Y336,Data!$G$65:$K$79,2,0) *X336,"")</f>
        <v/>
      </c>
      <c r="AD336" s="7">
        <f t="shared" si="55"/>
        <v>0</v>
      </c>
      <c r="AE336">
        <f>'DL 1'!F337</f>
        <v>0</v>
      </c>
      <c r="AF336" t="str">
        <f>IFERROR(VLOOKUP(Y336,Data!$G$65:$K$79,4,0),"")</f>
        <v/>
      </c>
      <c r="AG336" s="51" t="e">
        <f>#REF!</f>
        <v>#REF!</v>
      </c>
      <c r="AK336">
        <f t="shared" si="56"/>
        <v>0</v>
      </c>
      <c r="AL336">
        <f t="shared" si="57"/>
        <v>0</v>
      </c>
      <c r="AM336" s="70">
        <f t="shared" si="58"/>
        <v>0</v>
      </c>
      <c r="AN336" s="7">
        <f t="shared" si="59"/>
        <v>0</v>
      </c>
    </row>
    <row r="337" spans="18:40" x14ac:dyDescent="0.3">
      <c r="R337" s="27">
        <f>INCENTIVE!$E$8</f>
        <v>130000000</v>
      </c>
      <c r="T337" t="str">
        <f t="shared" si="52"/>
        <v>1</v>
      </c>
      <c r="W337">
        <f t="shared" si="54"/>
        <v>0.25</v>
      </c>
      <c r="X337" s="7">
        <f>'DL 1'!E338</f>
        <v>0</v>
      </c>
      <c r="Y337" s="69">
        <f>'DL 1'!G338</f>
        <v>0</v>
      </c>
      <c r="AC337" t="str">
        <f>IFERROR(VLOOKUP(Y337,Data!$G$65:$K$79,2,0) *X337,"")</f>
        <v/>
      </c>
      <c r="AD337" s="7">
        <f t="shared" si="55"/>
        <v>0</v>
      </c>
      <c r="AE337">
        <f>'DL 1'!F338</f>
        <v>0</v>
      </c>
      <c r="AF337" t="str">
        <f>IFERROR(VLOOKUP(Y337,Data!$G$65:$K$79,4,0),"")</f>
        <v/>
      </c>
      <c r="AG337" s="51" t="e">
        <f>#REF!</f>
        <v>#REF!</v>
      </c>
      <c r="AK337">
        <f t="shared" si="56"/>
        <v>0</v>
      </c>
      <c r="AL337">
        <f t="shared" si="57"/>
        <v>0</v>
      </c>
      <c r="AM337" s="70">
        <f t="shared" si="58"/>
        <v>0</v>
      </c>
      <c r="AN337" s="7">
        <f t="shared" si="59"/>
        <v>0</v>
      </c>
    </row>
    <row r="338" spans="18:40" x14ac:dyDescent="0.3">
      <c r="R338" s="27">
        <f>INCENTIVE!$E$8</f>
        <v>130000000</v>
      </c>
      <c r="T338" t="str">
        <f t="shared" si="52"/>
        <v>1</v>
      </c>
      <c r="W338">
        <f t="shared" si="54"/>
        <v>0.25</v>
      </c>
      <c r="X338" s="7">
        <f>'DL 1'!E339</f>
        <v>0</v>
      </c>
      <c r="Y338" s="69">
        <f>'DL 1'!G339</f>
        <v>0</v>
      </c>
      <c r="AC338" t="str">
        <f>IFERROR(VLOOKUP(Y338,Data!$G$65:$K$79,2,0) *X338,"")</f>
        <v/>
      </c>
      <c r="AD338" s="7">
        <f t="shared" si="55"/>
        <v>0</v>
      </c>
      <c r="AE338">
        <f>'DL 1'!F339</f>
        <v>0</v>
      </c>
      <c r="AF338" t="str">
        <f>IFERROR(VLOOKUP(Y338,Data!$G$65:$K$79,4,0),"")</f>
        <v/>
      </c>
      <c r="AG338" s="51" t="e">
        <f>#REF!</f>
        <v>#REF!</v>
      </c>
      <c r="AK338">
        <f t="shared" si="56"/>
        <v>0</v>
      </c>
      <c r="AL338">
        <f t="shared" si="57"/>
        <v>0</v>
      </c>
      <c r="AM338" s="70">
        <f t="shared" si="58"/>
        <v>0</v>
      </c>
      <c r="AN338" s="7">
        <f t="shared" si="59"/>
        <v>0</v>
      </c>
    </row>
    <row r="339" spans="18:40" x14ac:dyDescent="0.3">
      <c r="R339" s="27">
        <f>INCENTIVE!$E$8</f>
        <v>130000000</v>
      </c>
      <c r="T339" t="str">
        <f t="shared" si="52"/>
        <v>1</v>
      </c>
      <c r="W339">
        <f t="shared" si="54"/>
        <v>0.25</v>
      </c>
      <c r="X339" s="7">
        <f>'DL 1'!E340</f>
        <v>0</v>
      </c>
      <c r="Y339" s="69">
        <f>'DL 1'!G340</f>
        <v>0</v>
      </c>
      <c r="AC339" t="str">
        <f>IFERROR(VLOOKUP(Y339,Data!$G$65:$K$79,2,0) *X339,"")</f>
        <v/>
      </c>
      <c r="AD339" s="7">
        <f t="shared" si="55"/>
        <v>0</v>
      </c>
      <c r="AE339">
        <f>'DL 1'!F340</f>
        <v>0</v>
      </c>
      <c r="AF339" t="str">
        <f>IFERROR(VLOOKUP(Y339,Data!$G$65:$K$79,4,0),"")</f>
        <v/>
      </c>
      <c r="AG339" s="51" t="e">
        <f>#REF!</f>
        <v>#REF!</v>
      </c>
      <c r="AK339">
        <f t="shared" si="56"/>
        <v>0</v>
      </c>
      <c r="AL339">
        <f t="shared" si="57"/>
        <v>0</v>
      </c>
      <c r="AM339" s="70">
        <f t="shared" si="58"/>
        <v>0</v>
      </c>
      <c r="AN339" s="7">
        <f t="shared" si="59"/>
        <v>0</v>
      </c>
    </row>
    <row r="340" spans="18:40" x14ac:dyDescent="0.3">
      <c r="R340" s="27">
        <f>INCENTIVE!$E$8</f>
        <v>130000000</v>
      </c>
      <c r="T340" t="str">
        <f t="shared" si="52"/>
        <v>1</v>
      </c>
      <c r="W340">
        <f t="shared" si="54"/>
        <v>0.25</v>
      </c>
      <c r="X340" s="7">
        <f>'DL 1'!E341</f>
        <v>0</v>
      </c>
      <c r="Y340" s="69">
        <f>'DL 1'!G341</f>
        <v>0</v>
      </c>
      <c r="AC340" t="str">
        <f>IFERROR(VLOOKUP(Y340,Data!$G$65:$K$79,2,0) *X340,"")</f>
        <v/>
      </c>
      <c r="AD340" s="7">
        <f t="shared" si="55"/>
        <v>0</v>
      </c>
      <c r="AE340">
        <f>'DL 1'!F341</f>
        <v>0</v>
      </c>
      <c r="AF340" t="str">
        <f>IFERROR(VLOOKUP(Y340,Data!$G$65:$K$79,4,0),"")</f>
        <v/>
      </c>
      <c r="AG340" s="51" t="e">
        <f>#REF!</f>
        <v>#REF!</v>
      </c>
      <c r="AK340">
        <f t="shared" si="56"/>
        <v>0</v>
      </c>
      <c r="AL340">
        <f t="shared" si="57"/>
        <v>0</v>
      </c>
      <c r="AM340" s="70">
        <f t="shared" si="58"/>
        <v>0</v>
      </c>
      <c r="AN340" s="7">
        <f t="shared" si="59"/>
        <v>0</v>
      </c>
    </row>
    <row r="341" spans="18:40" x14ac:dyDescent="0.3">
      <c r="R341" s="27">
        <f>INCENTIVE!$E$8</f>
        <v>130000000</v>
      </c>
      <c r="T341" t="str">
        <f t="shared" si="52"/>
        <v>1</v>
      </c>
      <c r="W341">
        <f t="shared" si="54"/>
        <v>0.25</v>
      </c>
      <c r="X341" s="7">
        <f>'DL 1'!E342</f>
        <v>0</v>
      </c>
      <c r="Y341" s="69">
        <f>'DL 1'!G342</f>
        <v>0</v>
      </c>
      <c r="AC341" t="str">
        <f>IFERROR(VLOOKUP(Y341,Data!$G$65:$K$79,2,0) *X341,"")</f>
        <v/>
      </c>
      <c r="AD341" s="7">
        <f t="shared" si="55"/>
        <v>0</v>
      </c>
      <c r="AE341">
        <f>'DL 1'!F342</f>
        <v>0</v>
      </c>
      <c r="AF341" t="str">
        <f>IFERROR(VLOOKUP(Y341,Data!$G$65:$K$79,4,0),"")</f>
        <v/>
      </c>
      <c r="AG341" s="51" t="e">
        <f>#REF!</f>
        <v>#REF!</v>
      </c>
      <c r="AK341">
        <f t="shared" si="56"/>
        <v>0</v>
      </c>
      <c r="AL341">
        <f t="shared" si="57"/>
        <v>0</v>
      </c>
      <c r="AM341" s="70">
        <f t="shared" si="58"/>
        <v>0</v>
      </c>
      <c r="AN341" s="7">
        <f t="shared" si="59"/>
        <v>0</v>
      </c>
    </row>
    <row r="342" spans="18:40" x14ac:dyDescent="0.3">
      <c r="R342" s="27">
        <f>INCENTIVE!$E$8</f>
        <v>130000000</v>
      </c>
      <c r="T342" t="str">
        <f t="shared" si="52"/>
        <v>1</v>
      </c>
      <c r="W342">
        <f t="shared" si="54"/>
        <v>0.25</v>
      </c>
      <c r="X342" s="7">
        <f>'DL 1'!E343</f>
        <v>0</v>
      </c>
      <c r="Y342" s="69">
        <f>'DL 1'!G343</f>
        <v>0</v>
      </c>
      <c r="AC342" t="str">
        <f>IFERROR(VLOOKUP(Y342,Data!$G$65:$K$79,2,0) *X342,"")</f>
        <v/>
      </c>
      <c r="AD342" s="7">
        <f t="shared" si="55"/>
        <v>0</v>
      </c>
      <c r="AE342">
        <f>'DL 1'!F343</f>
        <v>0</v>
      </c>
      <c r="AF342" t="str">
        <f>IFERROR(VLOOKUP(Y342,Data!$G$65:$K$79,4,0),"")</f>
        <v/>
      </c>
      <c r="AG342" s="51" t="e">
        <f>#REF!</f>
        <v>#REF!</v>
      </c>
      <c r="AK342">
        <f t="shared" si="56"/>
        <v>0</v>
      </c>
      <c r="AL342">
        <f t="shared" si="57"/>
        <v>0</v>
      </c>
      <c r="AM342" s="70">
        <f t="shared" si="58"/>
        <v>0</v>
      </c>
      <c r="AN342" s="7">
        <f t="shared" si="59"/>
        <v>0</v>
      </c>
    </row>
    <row r="343" spans="18:40" x14ac:dyDescent="0.3">
      <c r="R343" s="27">
        <f>INCENTIVE!$E$8</f>
        <v>130000000</v>
      </c>
      <c r="T343" t="str">
        <f t="shared" si="52"/>
        <v>1</v>
      </c>
      <c r="W343">
        <f t="shared" si="54"/>
        <v>0.25</v>
      </c>
      <c r="X343" s="7">
        <f>'DL 1'!E344</f>
        <v>0</v>
      </c>
      <c r="Y343" s="69">
        <f>'DL 1'!G344</f>
        <v>0</v>
      </c>
      <c r="AC343" t="str">
        <f>IFERROR(VLOOKUP(Y343,Data!$G$65:$K$79,2,0) *X343,"")</f>
        <v/>
      </c>
      <c r="AD343" s="7">
        <f t="shared" si="55"/>
        <v>0</v>
      </c>
      <c r="AE343">
        <f>'DL 1'!F344</f>
        <v>0</v>
      </c>
      <c r="AF343" t="str">
        <f>IFERROR(VLOOKUP(Y343,Data!$G$65:$K$79,4,0),"")</f>
        <v/>
      </c>
      <c r="AG343" s="51" t="e">
        <f>#REF!</f>
        <v>#REF!</v>
      </c>
      <c r="AK343">
        <f t="shared" si="56"/>
        <v>0</v>
      </c>
      <c r="AL343">
        <f t="shared" si="57"/>
        <v>0</v>
      </c>
      <c r="AM343" s="70">
        <f t="shared" si="58"/>
        <v>0</v>
      </c>
      <c r="AN343" s="7">
        <f t="shared" si="59"/>
        <v>0</v>
      </c>
    </row>
    <row r="344" spans="18:40" x14ac:dyDescent="0.3">
      <c r="R344" s="27">
        <f>INCENTIVE!$E$8</f>
        <v>130000000</v>
      </c>
      <c r="T344" t="str">
        <f t="shared" si="52"/>
        <v>1</v>
      </c>
      <c r="W344">
        <f t="shared" si="54"/>
        <v>0.25</v>
      </c>
      <c r="X344" s="7">
        <f>'DL 1'!E345</f>
        <v>0</v>
      </c>
      <c r="Y344" s="69">
        <f>'DL 1'!G345</f>
        <v>0</v>
      </c>
      <c r="AC344" t="str">
        <f>IFERROR(VLOOKUP(Y344,Data!$G$65:$K$79,2,0) *X344,"")</f>
        <v/>
      </c>
      <c r="AD344" s="7">
        <f t="shared" si="55"/>
        <v>0</v>
      </c>
      <c r="AE344">
        <f>'DL 1'!F345</f>
        <v>0</v>
      </c>
      <c r="AF344" t="str">
        <f>IFERROR(VLOOKUP(Y344,Data!$G$65:$K$79,4,0),"")</f>
        <v/>
      </c>
      <c r="AG344" s="51" t="e">
        <f>#REF!</f>
        <v>#REF!</v>
      </c>
      <c r="AK344">
        <f t="shared" si="56"/>
        <v>0</v>
      </c>
      <c r="AL344">
        <f t="shared" si="57"/>
        <v>0</v>
      </c>
      <c r="AM344" s="70">
        <f t="shared" si="58"/>
        <v>0</v>
      </c>
      <c r="AN344" s="7">
        <f t="shared" si="59"/>
        <v>0</v>
      </c>
    </row>
    <row r="345" spans="18:40" x14ac:dyDescent="0.3">
      <c r="R345" s="27">
        <f>INCENTIVE!$E$8</f>
        <v>130000000</v>
      </c>
      <c r="T345" t="str">
        <f t="shared" si="52"/>
        <v>1</v>
      </c>
      <c r="W345">
        <f t="shared" si="54"/>
        <v>0.25</v>
      </c>
      <c r="X345" s="7">
        <f>'DL 1'!E346</f>
        <v>0</v>
      </c>
      <c r="Y345" s="69">
        <f>'DL 1'!G346</f>
        <v>0</v>
      </c>
      <c r="AC345" t="str">
        <f>IFERROR(VLOOKUP(Y345,Data!$G$65:$K$79,2,0) *X345,"")</f>
        <v/>
      </c>
      <c r="AD345" s="7">
        <f t="shared" si="55"/>
        <v>0</v>
      </c>
      <c r="AE345">
        <f>'DL 1'!F346</f>
        <v>0</v>
      </c>
      <c r="AF345" t="str">
        <f>IFERROR(VLOOKUP(Y345,Data!$G$65:$K$79,4,0),"")</f>
        <v/>
      </c>
      <c r="AG345" s="51" t="e">
        <f>#REF!</f>
        <v>#REF!</v>
      </c>
      <c r="AK345">
        <f t="shared" si="56"/>
        <v>0</v>
      </c>
      <c r="AL345">
        <f t="shared" si="57"/>
        <v>0</v>
      </c>
      <c r="AM345" s="70">
        <f t="shared" si="58"/>
        <v>0</v>
      </c>
      <c r="AN345" s="7">
        <f t="shared" si="59"/>
        <v>0</v>
      </c>
    </row>
    <row r="346" spans="18:40" x14ac:dyDescent="0.3">
      <c r="R346" s="27">
        <f>INCENTIVE!$E$8</f>
        <v>130000000</v>
      </c>
      <c r="T346" t="str">
        <f t="shared" si="52"/>
        <v>1</v>
      </c>
      <c r="W346">
        <f t="shared" si="54"/>
        <v>0.25</v>
      </c>
      <c r="X346" s="7">
        <f>'DL 1'!E347</f>
        <v>0</v>
      </c>
      <c r="Y346" s="69">
        <f>'DL 1'!G347</f>
        <v>0</v>
      </c>
      <c r="AC346" t="str">
        <f>IFERROR(VLOOKUP(Y346,Data!$G$65:$K$79,2,0) *X346,"")</f>
        <v/>
      </c>
      <c r="AD346" s="7">
        <f t="shared" si="55"/>
        <v>0</v>
      </c>
      <c r="AE346">
        <f>'DL 1'!F347</f>
        <v>0</v>
      </c>
      <c r="AF346" t="str">
        <f>IFERROR(VLOOKUP(Y346,Data!$G$65:$K$79,4,0),"")</f>
        <v/>
      </c>
      <c r="AG346" s="51" t="e">
        <f>#REF!</f>
        <v>#REF!</v>
      </c>
      <c r="AK346">
        <f t="shared" si="56"/>
        <v>0</v>
      </c>
      <c r="AL346">
        <f t="shared" si="57"/>
        <v>0</v>
      </c>
      <c r="AM346" s="70">
        <f t="shared" si="58"/>
        <v>0</v>
      </c>
      <c r="AN346" s="7">
        <f t="shared" si="59"/>
        <v>0</v>
      </c>
    </row>
    <row r="347" spans="18:40" x14ac:dyDescent="0.3">
      <c r="R347" s="27">
        <f>INCENTIVE!$E$8</f>
        <v>130000000</v>
      </c>
      <c r="T347" t="str">
        <f t="shared" si="52"/>
        <v>1</v>
      </c>
      <c r="W347">
        <f t="shared" si="54"/>
        <v>0.25</v>
      </c>
      <c r="X347" s="7">
        <f>'DL 1'!E348</f>
        <v>0</v>
      </c>
      <c r="Y347" s="69">
        <f>'DL 1'!G348</f>
        <v>0</v>
      </c>
      <c r="AC347" t="str">
        <f>IFERROR(VLOOKUP(Y347,Data!$G$65:$K$79,2,0) *X347,"")</f>
        <v/>
      </c>
      <c r="AD347" s="7">
        <f t="shared" si="55"/>
        <v>0</v>
      </c>
      <c r="AE347">
        <f>'DL 1'!F348</f>
        <v>0</v>
      </c>
      <c r="AF347" t="str">
        <f>IFERROR(VLOOKUP(Y347,Data!$G$65:$K$79,4,0),"")</f>
        <v/>
      </c>
      <c r="AG347" s="51" t="e">
        <f>#REF!</f>
        <v>#REF!</v>
      </c>
      <c r="AK347">
        <f t="shared" si="56"/>
        <v>0</v>
      </c>
      <c r="AL347">
        <f t="shared" si="57"/>
        <v>0</v>
      </c>
      <c r="AM347" s="70">
        <f t="shared" si="58"/>
        <v>0</v>
      </c>
      <c r="AN347" s="7">
        <f t="shared" si="59"/>
        <v>0</v>
      </c>
    </row>
    <row r="348" spans="18:40" x14ac:dyDescent="0.3">
      <c r="R348" s="27">
        <f>INCENTIVE!$E$8</f>
        <v>130000000</v>
      </c>
      <c r="T348" t="str">
        <f t="shared" si="52"/>
        <v>1</v>
      </c>
      <c r="W348">
        <f t="shared" si="54"/>
        <v>0.25</v>
      </c>
      <c r="X348" s="7">
        <f>'DL 1'!E349</f>
        <v>0</v>
      </c>
      <c r="Y348" s="69">
        <f>'DL 1'!G349</f>
        <v>0</v>
      </c>
      <c r="AC348" t="str">
        <f>IFERROR(VLOOKUP(Y348,Data!$G$65:$K$79,2,0) *X348,"")</f>
        <v/>
      </c>
      <c r="AD348" s="7">
        <f t="shared" si="55"/>
        <v>0</v>
      </c>
      <c r="AE348">
        <f>'DL 1'!F349</f>
        <v>0</v>
      </c>
      <c r="AF348" t="str">
        <f>IFERROR(VLOOKUP(Y348,Data!$G$65:$K$79,4,0),"")</f>
        <v/>
      </c>
      <c r="AG348" s="51" t="e">
        <f>#REF!</f>
        <v>#REF!</v>
      </c>
      <c r="AK348">
        <f t="shared" si="56"/>
        <v>0</v>
      </c>
      <c r="AL348">
        <f t="shared" si="57"/>
        <v>0</v>
      </c>
      <c r="AM348" s="70">
        <f t="shared" si="58"/>
        <v>0</v>
      </c>
      <c r="AN348" s="7">
        <f t="shared" si="59"/>
        <v>0</v>
      </c>
    </row>
    <row r="349" spans="18:40" x14ac:dyDescent="0.3">
      <c r="R349" s="27">
        <f>INCENTIVE!$E$8</f>
        <v>130000000</v>
      </c>
      <c r="T349" t="str">
        <f t="shared" si="52"/>
        <v>1</v>
      </c>
      <c r="W349">
        <f t="shared" si="54"/>
        <v>0.25</v>
      </c>
      <c r="X349" s="7">
        <f>'DL 1'!E350</f>
        <v>0</v>
      </c>
      <c r="Y349" s="69">
        <f>'DL 1'!G350</f>
        <v>0</v>
      </c>
      <c r="AC349" t="str">
        <f>IFERROR(VLOOKUP(Y349,Data!$G$65:$K$79,2,0) *X349,"")</f>
        <v/>
      </c>
      <c r="AD349" s="7">
        <f t="shared" si="55"/>
        <v>0</v>
      </c>
      <c r="AE349">
        <f>'DL 1'!F350</f>
        <v>0</v>
      </c>
      <c r="AF349" t="str">
        <f>IFERROR(VLOOKUP(Y349,Data!$G$65:$K$79,4,0),"")</f>
        <v/>
      </c>
      <c r="AG349" s="51" t="e">
        <f>#REF!</f>
        <v>#REF!</v>
      </c>
      <c r="AK349">
        <f t="shared" si="56"/>
        <v>0</v>
      </c>
      <c r="AL349">
        <f t="shared" si="57"/>
        <v>0</v>
      </c>
      <c r="AM349" s="70">
        <f t="shared" si="58"/>
        <v>0</v>
      </c>
      <c r="AN349" s="7">
        <f t="shared" si="59"/>
        <v>0</v>
      </c>
    </row>
    <row r="350" spans="18:40" x14ac:dyDescent="0.3">
      <c r="R350" s="27">
        <f>INCENTIVE!$E$8</f>
        <v>130000000</v>
      </c>
      <c r="T350" t="str">
        <f t="shared" si="52"/>
        <v>1</v>
      </c>
      <c r="W350">
        <f t="shared" si="54"/>
        <v>0.25</v>
      </c>
      <c r="X350" s="7">
        <f>'DL 1'!E351</f>
        <v>0</v>
      </c>
      <c r="Y350" s="69">
        <f>'DL 1'!G351</f>
        <v>0</v>
      </c>
      <c r="AC350" t="str">
        <f>IFERROR(VLOOKUP(Y350,Data!$G$65:$K$79,2,0) *X350,"")</f>
        <v/>
      </c>
      <c r="AD350" s="7">
        <f t="shared" si="55"/>
        <v>0</v>
      </c>
      <c r="AE350">
        <f>'DL 1'!F351</f>
        <v>0</v>
      </c>
      <c r="AF350" t="str">
        <f>IFERROR(VLOOKUP(Y350,Data!$G$65:$K$79,4,0),"")</f>
        <v/>
      </c>
      <c r="AG350" s="51" t="e">
        <f>#REF!</f>
        <v>#REF!</v>
      </c>
      <c r="AK350">
        <f t="shared" si="56"/>
        <v>0</v>
      </c>
      <c r="AL350">
        <f t="shared" si="57"/>
        <v>0</v>
      </c>
      <c r="AM350" s="70">
        <f t="shared" si="58"/>
        <v>0</v>
      </c>
      <c r="AN350" s="7">
        <f t="shared" si="59"/>
        <v>0</v>
      </c>
    </row>
    <row r="351" spans="18:40" x14ac:dyDescent="0.3">
      <c r="R351" s="27">
        <f>INCENTIVE!$E$8</f>
        <v>130000000</v>
      </c>
      <c r="T351" t="str">
        <f t="shared" si="52"/>
        <v>1</v>
      </c>
      <c r="W351">
        <f t="shared" si="54"/>
        <v>0.25</v>
      </c>
      <c r="X351" s="7">
        <f>'DL 1'!E352</f>
        <v>0</v>
      </c>
      <c r="Y351" s="69">
        <f>'DL 1'!G352</f>
        <v>0</v>
      </c>
      <c r="AC351" t="str">
        <f>IFERROR(VLOOKUP(Y351,Data!$G$65:$K$79,2,0) *X351,"")</f>
        <v/>
      </c>
      <c r="AD351" s="7">
        <f t="shared" si="55"/>
        <v>0</v>
      </c>
      <c r="AE351">
        <f>'DL 1'!F352</f>
        <v>0</v>
      </c>
      <c r="AF351" t="str">
        <f>IFERROR(VLOOKUP(Y351,Data!$G$65:$K$79,4,0),"")</f>
        <v/>
      </c>
      <c r="AG351" s="51" t="e">
        <f>#REF!</f>
        <v>#REF!</v>
      </c>
      <c r="AK351">
        <f t="shared" si="56"/>
        <v>0</v>
      </c>
      <c r="AL351">
        <f t="shared" si="57"/>
        <v>0</v>
      </c>
      <c r="AM351" s="70">
        <f t="shared" si="58"/>
        <v>0</v>
      </c>
      <c r="AN351" s="7">
        <f t="shared" si="59"/>
        <v>0</v>
      </c>
    </row>
    <row r="352" spans="18:40" x14ac:dyDescent="0.3">
      <c r="R352" s="27">
        <f>INCENTIVE!$E$8</f>
        <v>130000000</v>
      </c>
      <c r="T352" t="str">
        <f t="shared" si="52"/>
        <v>1</v>
      </c>
      <c r="W352">
        <f t="shared" si="54"/>
        <v>0.25</v>
      </c>
      <c r="X352" s="7">
        <f>'DL 1'!E353</f>
        <v>0</v>
      </c>
      <c r="Y352" s="69">
        <f>'DL 1'!G353</f>
        <v>0</v>
      </c>
      <c r="AC352" t="str">
        <f>IFERROR(VLOOKUP(Y352,Data!$G$65:$K$79,2,0) *X352,"")</f>
        <v/>
      </c>
      <c r="AD352" s="7">
        <f t="shared" si="55"/>
        <v>0</v>
      </c>
      <c r="AE352">
        <f>'DL 1'!F353</f>
        <v>0</v>
      </c>
      <c r="AF352" t="str">
        <f>IFERROR(VLOOKUP(Y352,Data!$G$65:$K$79,4,0),"")</f>
        <v/>
      </c>
      <c r="AG352" s="51" t="e">
        <f>#REF!</f>
        <v>#REF!</v>
      </c>
      <c r="AK352">
        <f t="shared" si="56"/>
        <v>0</v>
      </c>
      <c r="AL352">
        <f t="shared" si="57"/>
        <v>0</v>
      </c>
      <c r="AM352" s="70">
        <f t="shared" si="58"/>
        <v>0</v>
      </c>
      <c r="AN352" s="7">
        <f t="shared" si="59"/>
        <v>0</v>
      </c>
    </row>
    <row r="353" spans="18:40" x14ac:dyDescent="0.3">
      <c r="R353" s="27">
        <f>INCENTIVE!$E$8</f>
        <v>130000000</v>
      </c>
      <c r="T353" t="str">
        <f t="shared" si="52"/>
        <v>1</v>
      </c>
      <c r="W353">
        <f t="shared" si="54"/>
        <v>0.25</v>
      </c>
      <c r="X353" s="7">
        <f>'DL 1'!E354</f>
        <v>0</v>
      </c>
      <c r="Y353" s="69">
        <f>'DL 1'!G354</f>
        <v>0</v>
      </c>
      <c r="AC353" t="str">
        <f>IFERROR(VLOOKUP(Y353,Data!$G$65:$K$79,2,0) *X353,"")</f>
        <v/>
      </c>
      <c r="AD353" s="7">
        <f t="shared" si="55"/>
        <v>0</v>
      </c>
      <c r="AE353">
        <f>'DL 1'!F354</f>
        <v>0</v>
      </c>
      <c r="AF353" t="str">
        <f>IFERROR(VLOOKUP(Y353,Data!$G$65:$K$79,4,0),"")</f>
        <v/>
      </c>
      <c r="AG353" s="51" t="e">
        <f>#REF!</f>
        <v>#REF!</v>
      </c>
      <c r="AK353">
        <f t="shared" si="56"/>
        <v>0</v>
      </c>
      <c r="AL353">
        <f t="shared" si="57"/>
        <v>0</v>
      </c>
      <c r="AM353" s="70">
        <f t="shared" si="58"/>
        <v>0</v>
      </c>
      <c r="AN353" s="7">
        <f t="shared" si="59"/>
        <v>0</v>
      </c>
    </row>
    <row r="354" spans="18:40" x14ac:dyDescent="0.3">
      <c r="R354" s="27">
        <f>INCENTIVE!$E$8</f>
        <v>130000000</v>
      </c>
      <c r="T354" t="str">
        <f t="shared" si="52"/>
        <v>1</v>
      </c>
      <c r="W354">
        <f t="shared" si="54"/>
        <v>0.25</v>
      </c>
      <c r="X354" s="7">
        <f>'DL 1'!E355</f>
        <v>0</v>
      </c>
      <c r="Y354" s="69">
        <f>'DL 1'!G355</f>
        <v>0</v>
      </c>
      <c r="AC354" t="str">
        <f>IFERROR(VLOOKUP(Y354,Data!$G$65:$K$79,2,0) *X354,"")</f>
        <v/>
      </c>
      <c r="AD354" s="7">
        <f t="shared" si="55"/>
        <v>0</v>
      </c>
      <c r="AE354">
        <f>'DL 1'!F355</f>
        <v>0</v>
      </c>
      <c r="AF354" t="str">
        <f>IFERROR(VLOOKUP(Y354,Data!$G$65:$K$79,4,0),"")</f>
        <v/>
      </c>
      <c r="AG354" s="51" t="e">
        <f>#REF!</f>
        <v>#REF!</v>
      </c>
      <c r="AK354">
        <f t="shared" si="56"/>
        <v>0</v>
      </c>
      <c r="AL354">
        <f t="shared" si="57"/>
        <v>0</v>
      </c>
      <c r="AM354" s="70">
        <f t="shared" si="58"/>
        <v>0</v>
      </c>
      <c r="AN354" s="7">
        <f t="shared" si="59"/>
        <v>0</v>
      </c>
    </row>
    <row r="355" spans="18:40" x14ac:dyDescent="0.3">
      <c r="R355" s="27">
        <f>INCENTIVE!$E$8</f>
        <v>130000000</v>
      </c>
      <c r="T355" t="str">
        <f t="shared" si="52"/>
        <v>1</v>
      </c>
      <c r="W355">
        <f t="shared" si="54"/>
        <v>0.25</v>
      </c>
      <c r="X355" s="7">
        <f>'DL 1'!E356</f>
        <v>0</v>
      </c>
      <c r="Y355" s="69">
        <f>'DL 1'!G356</f>
        <v>0</v>
      </c>
      <c r="AC355" t="str">
        <f>IFERROR(VLOOKUP(Y355,Data!$G$65:$K$79,2,0) *X355,"")</f>
        <v/>
      </c>
      <c r="AD355" s="7">
        <f t="shared" si="55"/>
        <v>0</v>
      </c>
      <c r="AE355">
        <f>'DL 1'!F356</f>
        <v>0</v>
      </c>
      <c r="AF355" t="str">
        <f>IFERROR(VLOOKUP(Y355,Data!$G$65:$K$79,4,0),"")</f>
        <v/>
      </c>
      <c r="AG355" s="51" t="e">
        <f>#REF!</f>
        <v>#REF!</v>
      </c>
      <c r="AK355">
        <f t="shared" si="56"/>
        <v>0</v>
      </c>
      <c r="AL355">
        <f t="shared" si="57"/>
        <v>0</v>
      </c>
      <c r="AM355" s="70">
        <f t="shared" si="58"/>
        <v>0</v>
      </c>
      <c r="AN355" s="7">
        <f t="shared" si="59"/>
        <v>0</v>
      </c>
    </row>
    <row r="356" spans="18:40" x14ac:dyDescent="0.3">
      <c r="R356" s="27">
        <f>INCENTIVE!$E$8</f>
        <v>130000000</v>
      </c>
      <c r="T356" t="str">
        <f t="shared" si="52"/>
        <v>1</v>
      </c>
      <c r="W356">
        <f t="shared" si="54"/>
        <v>0.25</v>
      </c>
      <c r="X356" s="7">
        <f>'DL 1'!E357</f>
        <v>0</v>
      </c>
      <c r="Y356" s="69">
        <f>'DL 1'!G357</f>
        <v>0</v>
      </c>
      <c r="AC356" t="str">
        <f>IFERROR(VLOOKUP(Y356,Data!$G$65:$K$79,2,0) *X356,"")</f>
        <v/>
      </c>
      <c r="AD356" s="7">
        <f t="shared" si="55"/>
        <v>0</v>
      </c>
      <c r="AE356">
        <f>'DL 1'!F357</f>
        <v>0</v>
      </c>
      <c r="AF356" t="str">
        <f>IFERROR(VLOOKUP(Y356,Data!$G$65:$K$79,4,0),"")</f>
        <v/>
      </c>
      <c r="AG356" s="51" t="e">
        <f>#REF!</f>
        <v>#REF!</v>
      </c>
      <c r="AK356">
        <f t="shared" si="56"/>
        <v>0</v>
      </c>
      <c r="AL356">
        <f t="shared" si="57"/>
        <v>0</v>
      </c>
      <c r="AM356" s="70">
        <f t="shared" si="58"/>
        <v>0</v>
      </c>
      <c r="AN356" s="7">
        <f t="shared" si="59"/>
        <v>0</v>
      </c>
    </row>
    <row r="357" spans="18:40" x14ac:dyDescent="0.3">
      <c r="R357" s="27">
        <f>INCENTIVE!$E$8</f>
        <v>130000000</v>
      </c>
      <c r="T357" t="str">
        <f t="shared" si="52"/>
        <v>1</v>
      </c>
      <c r="W357">
        <f t="shared" si="54"/>
        <v>0.25</v>
      </c>
      <c r="X357" s="7">
        <f>'DL 1'!E358</f>
        <v>0</v>
      </c>
      <c r="Y357" s="69">
        <f>'DL 1'!G358</f>
        <v>0</v>
      </c>
      <c r="AC357" t="str">
        <f>IFERROR(VLOOKUP(Y357,Data!$G$65:$K$79,2,0) *X357,"")</f>
        <v/>
      </c>
      <c r="AD357" s="7">
        <f t="shared" si="55"/>
        <v>0</v>
      </c>
      <c r="AE357">
        <f>'DL 1'!F358</f>
        <v>0</v>
      </c>
      <c r="AF357" t="str">
        <f>IFERROR(VLOOKUP(Y357,Data!$G$65:$K$79,4,0),"")</f>
        <v/>
      </c>
      <c r="AG357" s="51" t="e">
        <f>#REF!</f>
        <v>#REF!</v>
      </c>
      <c r="AK357">
        <f t="shared" si="56"/>
        <v>0</v>
      </c>
      <c r="AL357">
        <f t="shared" si="57"/>
        <v>0</v>
      </c>
      <c r="AM357" s="70">
        <f t="shared" si="58"/>
        <v>0</v>
      </c>
      <c r="AN357" s="7">
        <f t="shared" si="59"/>
        <v>0</v>
      </c>
    </row>
    <row r="358" spans="18:40" x14ac:dyDescent="0.3">
      <c r="R358" s="27">
        <f>INCENTIVE!$E$8</f>
        <v>130000000</v>
      </c>
      <c r="T358" t="str">
        <f t="shared" si="52"/>
        <v>1</v>
      </c>
      <c r="W358">
        <f t="shared" si="54"/>
        <v>0.25</v>
      </c>
      <c r="X358" s="7">
        <f>'DL 1'!E359</f>
        <v>0</v>
      </c>
      <c r="Y358" s="69">
        <f>'DL 1'!G359</f>
        <v>0</v>
      </c>
      <c r="AC358" t="str">
        <f>IFERROR(VLOOKUP(Y358,Data!$G$65:$K$79,2,0) *X358,"")</f>
        <v/>
      </c>
      <c r="AD358" s="7">
        <f t="shared" si="55"/>
        <v>0</v>
      </c>
      <c r="AE358">
        <f>'DL 1'!F359</f>
        <v>0</v>
      </c>
      <c r="AF358" t="str">
        <f>IFERROR(VLOOKUP(Y358,Data!$G$65:$K$79,4,0),"")</f>
        <v/>
      </c>
      <c r="AG358" s="51" t="e">
        <f>#REF!</f>
        <v>#REF!</v>
      </c>
      <c r="AK358">
        <f t="shared" si="56"/>
        <v>0</v>
      </c>
      <c r="AL358">
        <f t="shared" si="57"/>
        <v>0</v>
      </c>
      <c r="AM358" s="70">
        <f t="shared" si="58"/>
        <v>0</v>
      </c>
      <c r="AN358" s="7">
        <f t="shared" si="59"/>
        <v>0</v>
      </c>
    </row>
    <row r="359" spans="18:40" x14ac:dyDescent="0.3">
      <c r="R359" s="27">
        <f>INCENTIVE!$E$8</f>
        <v>130000000</v>
      </c>
      <c r="T359" t="str">
        <f t="shared" si="52"/>
        <v>1</v>
      </c>
      <c r="W359">
        <f t="shared" si="54"/>
        <v>0.25</v>
      </c>
      <c r="X359" s="7">
        <f>'DL 1'!E360</f>
        <v>0</v>
      </c>
      <c r="Y359" s="69">
        <f>'DL 1'!G360</f>
        <v>0</v>
      </c>
      <c r="AC359" t="str">
        <f>IFERROR(VLOOKUP(Y359,Data!$G$65:$K$79,2,0) *X359,"")</f>
        <v/>
      </c>
      <c r="AD359" s="7">
        <f t="shared" si="55"/>
        <v>0</v>
      </c>
      <c r="AE359">
        <f>'DL 1'!F360</f>
        <v>0</v>
      </c>
      <c r="AF359" t="str">
        <f>IFERROR(VLOOKUP(Y359,Data!$G$65:$K$79,4,0),"")</f>
        <v/>
      </c>
      <c r="AG359" s="51" t="e">
        <f>#REF!</f>
        <v>#REF!</v>
      </c>
      <c r="AK359">
        <f t="shared" si="56"/>
        <v>0</v>
      </c>
      <c r="AL359">
        <f t="shared" si="57"/>
        <v>0</v>
      </c>
      <c r="AM359" s="70">
        <f t="shared" si="58"/>
        <v>0</v>
      </c>
      <c r="AN359" s="7">
        <f t="shared" si="59"/>
        <v>0</v>
      </c>
    </row>
    <row r="360" spans="18:40" x14ac:dyDescent="0.3">
      <c r="R360" s="27">
        <f>INCENTIVE!$E$8</f>
        <v>130000000</v>
      </c>
      <c r="T360" t="str">
        <f t="shared" si="52"/>
        <v>1</v>
      </c>
      <c r="W360">
        <f t="shared" si="54"/>
        <v>0.25</v>
      </c>
      <c r="X360" s="7">
        <f>'DL 1'!E361</f>
        <v>0</v>
      </c>
      <c r="Y360" s="69">
        <f>'DL 1'!G361</f>
        <v>0</v>
      </c>
      <c r="AC360" t="str">
        <f>IFERROR(VLOOKUP(Y360,Data!$G$65:$K$79,2,0) *X360,"")</f>
        <v/>
      </c>
      <c r="AD360" s="7">
        <f t="shared" si="55"/>
        <v>0</v>
      </c>
      <c r="AE360">
        <f>'DL 1'!F361</f>
        <v>0</v>
      </c>
      <c r="AF360" t="str">
        <f>IFERROR(VLOOKUP(Y360,Data!$G$65:$K$79,4,0),"")</f>
        <v/>
      </c>
      <c r="AG360" s="51" t="e">
        <f>#REF!</f>
        <v>#REF!</v>
      </c>
      <c r="AK360">
        <f t="shared" si="56"/>
        <v>0</v>
      </c>
      <c r="AL360">
        <f t="shared" si="57"/>
        <v>0</v>
      </c>
      <c r="AM360" s="70">
        <f t="shared" si="58"/>
        <v>0</v>
      </c>
      <c r="AN360" s="7">
        <f t="shared" si="59"/>
        <v>0</v>
      </c>
    </row>
    <row r="361" spans="18:40" x14ac:dyDescent="0.3">
      <c r="R361" s="27">
        <f>INCENTIVE!$E$8</f>
        <v>130000000</v>
      </c>
      <c r="T361" t="str">
        <f t="shared" si="52"/>
        <v>1</v>
      </c>
      <c r="W361">
        <f t="shared" si="54"/>
        <v>0.25</v>
      </c>
      <c r="X361" s="7">
        <f>'DL 1'!E362</f>
        <v>0</v>
      </c>
      <c r="Y361" s="69">
        <f>'DL 1'!G362</f>
        <v>0</v>
      </c>
      <c r="AC361" t="str">
        <f>IFERROR(VLOOKUP(Y361,Data!$G$65:$K$79,2,0) *X361,"")</f>
        <v/>
      </c>
      <c r="AD361" s="7">
        <f t="shared" si="55"/>
        <v>0</v>
      </c>
      <c r="AE361">
        <f>'DL 1'!F362</f>
        <v>0</v>
      </c>
      <c r="AF361" t="str">
        <f>IFERROR(VLOOKUP(Y361,Data!$G$65:$K$79,4,0),"")</f>
        <v/>
      </c>
      <c r="AG361" s="51" t="e">
        <f>#REF!</f>
        <v>#REF!</v>
      </c>
      <c r="AK361">
        <f t="shared" si="56"/>
        <v>0</v>
      </c>
      <c r="AL361">
        <f t="shared" si="57"/>
        <v>0</v>
      </c>
      <c r="AM361" s="70">
        <f t="shared" si="58"/>
        <v>0</v>
      </c>
      <c r="AN361" s="7">
        <f t="shared" si="59"/>
        <v>0</v>
      </c>
    </row>
    <row r="362" spans="18:40" x14ac:dyDescent="0.3">
      <c r="R362" s="27">
        <f>INCENTIVE!$E$8</f>
        <v>130000000</v>
      </c>
      <c r="T362" t="str">
        <f t="shared" si="52"/>
        <v>1</v>
      </c>
      <c r="W362">
        <f t="shared" si="54"/>
        <v>0.25</v>
      </c>
      <c r="X362" s="7">
        <f>'DL 1'!E363</f>
        <v>0</v>
      </c>
      <c r="Y362" s="69">
        <f>'DL 1'!G363</f>
        <v>0</v>
      </c>
      <c r="AC362" t="str">
        <f>IFERROR(VLOOKUP(Y362,Data!$G$65:$K$79,2,0) *X362,"")</f>
        <v/>
      </c>
      <c r="AD362" s="7">
        <f t="shared" si="55"/>
        <v>0</v>
      </c>
      <c r="AE362">
        <f>'DL 1'!F363</f>
        <v>0</v>
      </c>
      <c r="AF362" t="str">
        <f>IFERROR(VLOOKUP(Y362,Data!$G$65:$K$79,4,0),"")</f>
        <v/>
      </c>
      <c r="AG362" s="51" t="e">
        <f>#REF!</f>
        <v>#REF!</v>
      </c>
      <c r="AK362">
        <f t="shared" si="56"/>
        <v>0</v>
      </c>
      <c r="AL362">
        <f t="shared" si="57"/>
        <v>0</v>
      </c>
      <c r="AM362" s="70">
        <f t="shared" si="58"/>
        <v>0</v>
      </c>
      <c r="AN362" s="7">
        <f t="shared" si="59"/>
        <v>0</v>
      </c>
    </row>
    <row r="363" spans="18:40" x14ac:dyDescent="0.3">
      <c r="R363" s="27">
        <f>INCENTIVE!$E$8</f>
        <v>130000000</v>
      </c>
      <c r="T363" t="str">
        <f t="shared" si="52"/>
        <v>1</v>
      </c>
      <c r="W363">
        <f t="shared" si="54"/>
        <v>0.25</v>
      </c>
      <c r="X363" s="7">
        <f>'DL 1'!E364</f>
        <v>0</v>
      </c>
      <c r="Y363" s="69">
        <f>'DL 1'!G364</f>
        <v>0</v>
      </c>
      <c r="AC363" t="str">
        <f>IFERROR(VLOOKUP(Y363,Data!$G$65:$K$79,2,0) *X363,"")</f>
        <v/>
      </c>
      <c r="AD363" s="7">
        <f t="shared" si="55"/>
        <v>0</v>
      </c>
      <c r="AE363">
        <f>'DL 1'!F364</f>
        <v>0</v>
      </c>
      <c r="AF363" t="str">
        <f>IFERROR(VLOOKUP(Y363,Data!$G$65:$K$79,4,0),"")</f>
        <v/>
      </c>
      <c r="AG363" s="51" t="e">
        <f>#REF!</f>
        <v>#REF!</v>
      </c>
      <c r="AK363">
        <f t="shared" si="56"/>
        <v>0</v>
      </c>
      <c r="AL363">
        <f t="shared" si="57"/>
        <v>0</v>
      </c>
      <c r="AM363" s="70">
        <f t="shared" si="58"/>
        <v>0</v>
      </c>
      <c r="AN363" s="7">
        <f t="shared" si="59"/>
        <v>0</v>
      </c>
    </row>
    <row r="364" spans="18:40" x14ac:dyDescent="0.3">
      <c r="R364" s="27">
        <f>INCENTIVE!$E$8</f>
        <v>130000000</v>
      </c>
      <c r="T364" t="str">
        <f t="shared" si="52"/>
        <v>1</v>
      </c>
      <c r="W364">
        <f t="shared" si="54"/>
        <v>0.25</v>
      </c>
      <c r="X364" s="7">
        <f>'DL 1'!E365</f>
        <v>0</v>
      </c>
      <c r="Y364" s="69">
        <f>'DL 1'!G365</f>
        <v>0</v>
      </c>
      <c r="AC364" t="str">
        <f>IFERROR(VLOOKUP(Y364,Data!$G$65:$K$79,2,0) *X364,"")</f>
        <v/>
      </c>
      <c r="AD364" s="7">
        <f t="shared" si="55"/>
        <v>0</v>
      </c>
      <c r="AE364">
        <f>'DL 1'!F365</f>
        <v>0</v>
      </c>
      <c r="AF364" t="str">
        <f>IFERROR(VLOOKUP(Y364,Data!$G$65:$K$79,4,0),"")</f>
        <v/>
      </c>
      <c r="AG364" s="51" t="e">
        <f>#REF!</f>
        <v>#REF!</v>
      </c>
      <c r="AK364">
        <f t="shared" si="56"/>
        <v>0</v>
      </c>
      <c r="AL364">
        <f t="shared" si="57"/>
        <v>0</v>
      </c>
      <c r="AM364" s="70">
        <f t="shared" si="58"/>
        <v>0</v>
      </c>
      <c r="AN364" s="7">
        <f t="shared" si="59"/>
        <v>0</v>
      </c>
    </row>
    <row r="365" spans="18:40" x14ac:dyDescent="0.3">
      <c r="R365" s="27">
        <f>INCENTIVE!$E$8</f>
        <v>130000000</v>
      </c>
      <c r="T365" t="str">
        <f t="shared" si="52"/>
        <v>1</v>
      </c>
      <c r="W365">
        <f t="shared" si="54"/>
        <v>0.25</v>
      </c>
      <c r="X365" s="7">
        <f>'DL 1'!E366</f>
        <v>0</v>
      </c>
      <c r="Y365" s="69">
        <f>'DL 1'!G366</f>
        <v>0</v>
      </c>
      <c r="AC365" t="str">
        <f>IFERROR(VLOOKUP(Y365,Data!$G$65:$K$79,2,0) *X365,"")</f>
        <v/>
      </c>
      <c r="AD365" s="7">
        <f t="shared" si="55"/>
        <v>0</v>
      </c>
      <c r="AE365">
        <f>'DL 1'!F366</f>
        <v>0</v>
      </c>
      <c r="AF365" t="str">
        <f>IFERROR(VLOOKUP(Y365,Data!$G$65:$K$79,4,0),"")</f>
        <v/>
      </c>
      <c r="AG365" s="51" t="e">
        <f>#REF!</f>
        <v>#REF!</v>
      </c>
      <c r="AK365">
        <f t="shared" si="56"/>
        <v>0</v>
      </c>
      <c r="AL365">
        <f t="shared" si="57"/>
        <v>0</v>
      </c>
      <c r="AM365" s="70">
        <f t="shared" si="58"/>
        <v>0</v>
      </c>
      <c r="AN365" s="7">
        <f t="shared" si="59"/>
        <v>0</v>
      </c>
    </row>
    <row r="366" spans="18:40" x14ac:dyDescent="0.3">
      <c r="R366" s="27">
        <f>INCENTIVE!$E$8</f>
        <v>130000000</v>
      </c>
      <c r="T366" t="str">
        <f t="shared" si="52"/>
        <v>1</v>
      </c>
      <c r="W366">
        <f t="shared" si="54"/>
        <v>0.25</v>
      </c>
      <c r="X366" s="7">
        <f>'DL 1'!E367</f>
        <v>0</v>
      </c>
      <c r="Y366" s="69">
        <f>'DL 1'!G367</f>
        <v>0</v>
      </c>
      <c r="AC366" t="str">
        <f>IFERROR(VLOOKUP(Y366,Data!$G$65:$K$79,2,0) *X366,"")</f>
        <v/>
      </c>
      <c r="AD366" s="7">
        <f t="shared" si="55"/>
        <v>0</v>
      </c>
      <c r="AE366">
        <f>'DL 1'!F367</f>
        <v>0</v>
      </c>
      <c r="AF366" t="str">
        <f>IFERROR(VLOOKUP(Y366,Data!$G$65:$K$79,4,0),"")</f>
        <v/>
      </c>
      <c r="AG366" s="51" t="e">
        <f>#REF!</f>
        <v>#REF!</v>
      </c>
      <c r="AK366">
        <f t="shared" si="56"/>
        <v>0</v>
      </c>
      <c r="AL366">
        <f t="shared" si="57"/>
        <v>0</v>
      </c>
      <c r="AM366" s="70">
        <f t="shared" si="58"/>
        <v>0</v>
      </c>
      <c r="AN366" s="7">
        <f t="shared" si="59"/>
        <v>0</v>
      </c>
    </row>
    <row r="367" spans="18:40" x14ac:dyDescent="0.3">
      <c r="R367" s="27">
        <f>INCENTIVE!$E$8</f>
        <v>130000000</v>
      </c>
      <c r="T367" t="str">
        <f t="shared" si="52"/>
        <v>1</v>
      </c>
      <c r="W367">
        <f t="shared" si="54"/>
        <v>0.25</v>
      </c>
      <c r="X367" s="7">
        <f>'DL 1'!E368</f>
        <v>0</v>
      </c>
      <c r="Y367" s="69">
        <f>'DL 1'!G368</f>
        <v>0</v>
      </c>
      <c r="AC367" t="str">
        <f>IFERROR(VLOOKUP(Y367,Data!$G$65:$K$79,2,0) *X367,"")</f>
        <v/>
      </c>
      <c r="AD367" s="7">
        <f t="shared" si="55"/>
        <v>0</v>
      </c>
      <c r="AE367">
        <f>'DL 1'!F368</f>
        <v>0</v>
      </c>
      <c r="AF367" t="str">
        <f>IFERROR(VLOOKUP(Y367,Data!$G$65:$K$79,4,0),"")</f>
        <v/>
      </c>
      <c r="AG367" s="51" t="e">
        <f>#REF!</f>
        <v>#REF!</v>
      </c>
      <c r="AK367">
        <f t="shared" si="56"/>
        <v>0</v>
      </c>
      <c r="AL367">
        <f t="shared" si="57"/>
        <v>0</v>
      </c>
      <c r="AM367" s="70">
        <f t="shared" si="58"/>
        <v>0</v>
      </c>
      <c r="AN367" s="7">
        <f t="shared" si="59"/>
        <v>0</v>
      </c>
    </row>
    <row r="368" spans="18:40" x14ac:dyDescent="0.3">
      <c r="R368" s="27">
        <f>INCENTIVE!$E$8</f>
        <v>130000000</v>
      </c>
      <c r="T368" t="str">
        <f t="shared" si="52"/>
        <v>1</v>
      </c>
      <c r="W368">
        <f t="shared" si="54"/>
        <v>0.25</v>
      </c>
      <c r="X368" s="7">
        <f>'DL 1'!E369</f>
        <v>0</v>
      </c>
      <c r="Y368" s="69">
        <f>'DL 1'!G369</f>
        <v>0</v>
      </c>
      <c r="AC368" t="str">
        <f>IFERROR(VLOOKUP(Y368,Data!$G$65:$K$79,2,0) *X368,"")</f>
        <v/>
      </c>
      <c r="AD368" s="7">
        <f t="shared" si="55"/>
        <v>0</v>
      </c>
      <c r="AE368">
        <f>'DL 1'!F369</f>
        <v>0</v>
      </c>
      <c r="AF368" t="str">
        <f>IFERROR(VLOOKUP(Y368,Data!$G$65:$K$79,4,0),"")</f>
        <v/>
      </c>
      <c r="AG368" s="51" t="e">
        <f>#REF!</f>
        <v>#REF!</v>
      </c>
      <c r="AK368">
        <f t="shared" si="56"/>
        <v>0</v>
      </c>
      <c r="AL368">
        <f t="shared" si="57"/>
        <v>0</v>
      </c>
      <c r="AM368" s="70">
        <f t="shared" si="58"/>
        <v>0</v>
      </c>
      <c r="AN368" s="7">
        <f t="shared" si="59"/>
        <v>0</v>
      </c>
    </row>
    <row r="369" spans="18:40" x14ac:dyDescent="0.3">
      <c r="R369" s="27">
        <f>INCENTIVE!$E$8</f>
        <v>130000000</v>
      </c>
      <c r="T369" t="str">
        <f t="shared" si="52"/>
        <v>1</v>
      </c>
      <c r="W369">
        <f t="shared" si="54"/>
        <v>0.25</v>
      </c>
      <c r="X369" s="7">
        <f>'DL 1'!E370</f>
        <v>0</v>
      </c>
      <c r="Y369" s="69">
        <f>'DL 1'!G370</f>
        <v>0</v>
      </c>
      <c r="AC369" t="str">
        <f>IFERROR(VLOOKUP(Y369,Data!$G$65:$K$79,2,0) *X369,"")</f>
        <v/>
      </c>
      <c r="AD369" s="7">
        <f t="shared" si="55"/>
        <v>0</v>
      </c>
      <c r="AE369">
        <f>'DL 1'!F370</f>
        <v>0</v>
      </c>
      <c r="AF369" t="str">
        <f>IFERROR(VLOOKUP(Y369,Data!$G$65:$K$79,4,0),"")</f>
        <v/>
      </c>
      <c r="AG369" s="51" t="e">
        <f>#REF!</f>
        <v>#REF!</v>
      </c>
      <c r="AK369">
        <f t="shared" si="56"/>
        <v>0</v>
      </c>
      <c r="AL369">
        <f t="shared" si="57"/>
        <v>0</v>
      </c>
      <c r="AM369" s="70">
        <f t="shared" si="58"/>
        <v>0</v>
      </c>
      <c r="AN369" s="7">
        <f t="shared" si="59"/>
        <v>0</v>
      </c>
    </row>
    <row r="370" spans="18:40" x14ac:dyDescent="0.3">
      <c r="R370" s="27">
        <f>INCENTIVE!$E$8</f>
        <v>130000000</v>
      </c>
      <c r="T370" t="str">
        <f t="shared" si="52"/>
        <v>1</v>
      </c>
      <c r="W370">
        <f t="shared" si="54"/>
        <v>0.25</v>
      </c>
      <c r="X370" s="7">
        <f>'DL 1'!E371</f>
        <v>0</v>
      </c>
      <c r="Y370" s="69">
        <f>'DL 1'!G371</f>
        <v>0</v>
      </c>
      <c r="AC370" t="str">
        <f>IFERROR(VLOOKUP(Y370,Data!$G$65:$K$79,2,0) *X370,"")</f>
        <v/>
      </c>
      <c r="AD370" s="7">
        <f t="shared" si="55"/>
        <v>0</v>
      </c>
      <c r="AE370">
        <f>'DL 1'!F371</f>
        <v>0</v>
      </c>
      <c r="AF370" t="str">
        <f>IFERROR(VLOOKUP(Y370,Data!$G$65:$K$79,4,0),"")</f>
        <v/>
      </c>
      <c r="AG370" s="51" t="e">
        <f>#REF!</f>
        <v>#REF!</v>
      </c>
      <c r="AK370">
        <f t="shared" si="56"/>
        <v>0</v>
      </c>
      <c r="AL370">
        <f t="shared" si="57"/>
        <v>0</v>
      </c>
      <c r="AM370" s="70">
        <f t="shared" si="58"/>
        <v>0</v>
      </c>
      <c r="AN370" s="7">
        <f t="shared" si="59"/>
        <v>0</v>
      </c>
    </row>
    <row r="371" spans="18:40" x14ac:dyDescent="0.3">
      <c r="R371" s="27">
        <f>INCENTIVE!$E$8</f>
        <v>130000000</v>
      </c>
      <c r="T371" t="str">
        <f t="shared" si="52"/>
        <v>1</v>
      </c>
      <c r="W371">
        <f t="shared" si="54"/>
        <v>0.25</v>
      </c>
      <c r="X371" s="7">
        <f>'DL 1'!E372</f>
        <v>0</v>
      </c>
      <c r="Y371" s="69">
        <f>'DL 1'!G372</f>
        <v>0</v>
      </c>
      <c r="AC371" t="str">
        <f>IFERROR(VLOOKUP(Y371,Data!$G$65:$K$79,2,0) *X371,"")</f>
        <v/>
      </c>
      <c r="AD371" s="7">
        <f t="shared" si="55"/>
        <v>0</v>
      </c>
      <c r="AE371">
        <f>'DL 1'!F372</f>
        <v>0</v>
      </c>
      <c r="AF371" t="str">
        <f>IFERROR(VLOOKUP(Y371,Data!$G$65:$K$79,4,0),"")</f>
        <v/>
      </c>
      <c r="AG371" s="51" t="e">
        <f>#REF!</f>
        <v>#REF!</v>
      </c>
      <c r="AK371">
        <f t="shared" si="56"/>
        <v>0</v>
      </c>
      <c r="AL371">
        <f t="shared" si="57"/>
        <v>0</v>
      </c>
      <c r="AM371" s="70">
        <f t="shared" si="58"/>
        <v>0</v>
      </c>
      <c r="AN371" s="7">
        <f t="shared" si="59"/>
        <v>0</v>
      </c>
    </row>
    <row r="372" spans="18:40" x14ac:dyDescent="0.3">
      <c r="R372" s="27">
        <f>INCENTIVE!$E$8</f>
        <v>130000000</v>
      </c>
      <c r="T372" t="str">
        <f t="shared" si="52"/>
        <v>1</v>
      </c>
      <c r="W372">
        <f t="shared" si="54"/>
        <v>0.25</v>
      </c>
      <c r="X372" s="7">
        <f>'DL 1'!E373</f>
        <v>0</v>
      </c>
      <c r="Y372" s="69">
        <f>'DL 1'!G373</f>
        <v>0</v>
      </c>
      <c r="AC372" t="str">
        <f>IFERROR(VLOOKUP(Y372,Data!$G$65:$K$79,2,0) *X372,"")</f>
        <v/>
      </c>
      <c r="AD372" s="7">
        <f t="shared" si="55"/>
        <v>0</v>
      </c>
      <c r="AE372">
        <f>'DL 1'!F373</f>
        <v>0</v>
      </c>
      <c r="AF372" t="str">
        <f>IFERROR(VLOOKUP(Y372,Data!$G$65:$K$79,4,0),"")</f>
        <v/>
      </c>
      <c r="AG372" s="51" t="e">
        <f>#REF!</f>
        <v>#REF!</v>
      </c>
      <c r="AK372">
        <f t="shared" si="56"/>
        <v>0</v>
      </c>
      <c r="AL372">
        <f t="shared" si="57"/>
        <v>0</v>
      </c>
      <c r="AM372" s="70">
        <f t="shared" si="58"/>
        <v>0</v>
      </c>
      <c r="AN372" s="7">
        <f t="shared" si="59"/>
        <v>0</v>
      </c>
    </row>
    <row r="373" spans="18:40" x14ac:dyDescent="0.3">
      <c r="R373" s="27">
        <f>INCENTIVE!$E$8</f>
        <v>130000000</v>
      </c>
      <c r="T373" t="str">
        <f t="shared" si="52"/>
        <v>1</v>
      </c>
      <c r="W373">
        <f t="shared" si="54"/>
        <v>0.25</v>
      </c>
      <c r="X373" s="7">
        <f>'DL 1'!E374</f>
        <v>0</v>
      </c>
      <c r="Y373" s="69">
        <f>'DL 1'!G374</f>
        <v>0</v>
      </c>
      <c r="AC373" t="str">
        <f>IFERROR(VLOOKUP(Y373,Data!$G$65:$K$79,2,0) *X373,"")</f>
        <v/>
      </c>
      <c r="AD373" s="7">
        <f t="shared" si="55"/>
        <v>0</v>
      </c>
      <c r="AE373">
        <f>'DL 1'!F374</f>
        <v>0</v>
      </c>
      <c r="AF373" t="str">
        <f>IFERROR(VLOOKUP(Y373,Data!$G$65:$K$79,4,0),"")</f>
        <v/>
      </c>
      <c r="AG373" s="51" t="e">
        <f>#REF!</f>
        <v>#REF!</v>
      </c>
      <c r="AK373">
        <f t="shared" si="56"/>
        <v>0</v>
      </c>
      <c r="AL373">
        <f t="shared" si="57"/>
        <v>0</v>
      </c>
      <c r="AM373" s="70">
        <f t="shared" si="58"/>
        <v>0</v>
      </c>
      <c r="AN373" s="7">
        <f t="shared" si="59"/>
        <v>0</v>
      </c>
    </row>
    <row r="374" spans="18:40" x14ac:dyDescent="0.3">
      <c r="R374" s="27">
        <f>INCENTIVE!$E$8</f>
        <v>130000000</v>
      </c>
      <c r="T374" t="str">
        <f t="shared" si="52"/>
        <v>1</v>
      </c>
      <c r="W374">
        <f t="shared" si="54"/>
        <v>0.25</v>
      </c>
      <c r="X374" s="7">
        <f>'DL 1'!E375</f>
        <v>0</v>
      </c>
      <c r="Y374" s="69">
        <f>'DL 1'!G375</f>
        <v>0</v>
      </c>
      <c r="AC374" t="str">
        <f>IFERROR(VLOOKUP(Y374,Data!$G$65:$K$79,2,0) *X374,"")</f>
        <v/>
      </c>
      <c r="AD374" s="7">
        <f t="shared" si="55"/>
        <v>0</v>
      </c>
      <c r="AE374">
        <f>'DL 1'!F375</f>
        <v>0</v>
      </c>
      <c r="AF374" t="str">
        <f>IFERROR(VLOOKUP(Y374,Data!$G$65:$K$79,4,0),"")</f>
        <v/>
      </c>
      <c r="AG374" s="51" t="e">
        <f>#REF!</f>
        <v>#REF!</v>
      </c>
      <c r="AK374">
        <f t="shared" si="56"/>
        <v>0</v>
      </c>
      <c r="AL374">
        <f t="shared" si="57"/>
        <v>0</v>
      </c>
      <c r="AM374" s="70">
        <f t="shared" si="58"/>
        <v>0</v>
      </c>
      <c r="AN374" s="7">
        <f t="shared" si="59"/>
        <v>0</v>
      </c>
    </row>
    <row r="375" spans="18:40" x14ac:dyDescent="0.3">
      <c r="R375" s="27">
        <f>INCENTIVE!$E$8</f>
        <v>130000000</v>
      </c>
      <c r="T375" t="str">
        <f t="shared" si="52"/>
        <v>1</v>
      </c>
      <c r="W375">
        <f t="shared" si="54"/>
        <v>0.25</v>
      </c>
      <c r="X375" s="7">
        <f>'DL 1'!E376</f>
        <v>0</v>
      </c>
      <c r="Y375" s="69">
        <f>'DL 1'!G376</f>
        <v>0</v>
      </c>
      <c r="AC375" t="str">
        <f>IFERROR(VLOOKUP(Y375,Data!$G$65:$K$79,2,0) *X375,"")</f>
        <v/>
      </c>
      <c r="AD375" s="7">
        <f t="shared" si="55"/>
        <v>0</v>
      </c>
      <c r="AE375">
        <f>'DL 1'!F376</f>
        <v>0</v>
      </c>
      <c r="AF375" t="str">
        <f>IFERROR(VLOOKUP(Y375,Data!$G$65:$K$79,4,0),"")</f>
        <v/>
      </c>
      <c r="AG375" s="51" t="e">
        <f>#REF!</f>
        <v>#REF!</v>
      </c>
      <c r="AK375">
        <f t="shared" si="56"/>
        <v>0</v>
      </c>
      <c r="AL375">
        <f t="shared" si="57"/>
        <v>0</v>
      </c>
      <c r="AM375" s="70">
        <f t="shared" si="58"/>
        <v>0</v>
      </c>
      <c r="AN375" s="7">
        <f t="shared" si="59"/>
        <v>0</v>
      </c>
    </row>
    <row r="376" spans="18:40" x14ac:dyDescent="0.3">
      <c r="R376" s="27">
        <f>INCENTIVE!$E$8</f>
        <v>130000000</v>
      </c>
      <c r="T376" t="str">
        <f t="shared" si="52"/>
        <v>1</v>
      </c>
      <c r="W376">
        <f t="shared" si="54"/>
        <v>0.25</v>
      </c>
      <c r="X376" s="7">
        <f>'DL 1'!E377</f>
        <v>0</v>
      </c>
      <c r="Y376" s="69">
        <f>'DL 1'!G377</f>
        <v>0</v>
      </c>
      <c r="AC376" t="str">
        <f>IFERROR(VLOOKUP(Y376,Data!$G$65:$K$79,2,0) *X376,"")</f>
        <v/>
      </c>
      <c r="AD376" s="7">
        <f t="shared" si="55"/>
        <v>0</v>
      </c>
      <c r="AE376">
        <f>'DL 1'!F377</f>
        <v>0</v>
      </c>
      <c r="AF376" t="str">
        <f>IFERROR(VLOOKUP(Y376,Data!$G$65:$K$79,4,0),"")</f>
        <v/>
      </c>
      <c r="AG376" s="51" t="e">
        <f>#REF!</f>
        <v>#REF!</v>
      </c>
      <c r="AK376">
        <f t="shared" si="56"/>
        <v>0</v>
      </c>
      <c r="AL376">
        <f t="shared" si="57"/>
        <v>0</v>
      </c>
      <c r="AM376" s="70">
        <f t="shared" si="58"/>
        <v>0</v>
      </c>
      <c r="AN376" s="7">
        <f t="shared" si="59"/>
        <v>0</v>
      </c>
    </row>
    <row r="377" spans="18:40" x14ac:dyDescent="0.3">
      <c r="R377" s="27">
        <f>INCENTIVE!$E$8</f>
        <v>130000000</v>
      </c>
      <c r="T377" t="str">
        <f t="shared" si="52"/>
        <v>1</v>
      </c>
      <c r="W377">
        <f t="shared" si="54"/>
        <v>0.25</v>
      </c>
      <c r="X377" s="7">
        <f>'DL 1'!E378</f>
        <v>0</v>
      </c>
      <c r="Y377" s="69">
        <f>'DL 1'!G378</f>
        <v>0</v>
      </c>
      <c r="AC377" t="str">
        <f>IFERROR(VLOOKUP(Y377,Data!$G$65:$K$79,2,0) *X377,"")</f>
        <v/>
      </c>
      <c r="AD377" s="7">
        <f t="shared" si="55"/>
        <v>0</v>
      </c>
      <c r="AE377">
        <f>'DL 1'!F378</f>
        <v>0</v>
      </c>
      <c r="AF377" t="str">
        <f>IFERROR(VLOOKUP(Y377,Data!$G$65:$K$79,4,0),"")</f>
        <v/>
      </c>
      <c r="AG377" s="51" t="e">
        <f>#REF!</f>
        <v>#REF!</v>
      </c>
      <c r="AK377">
        <f t="shared" si="56"/>
        <v>0</v>
      </c>
      <c r="AL377">
        <f t="shared" si="57"/>
        <v>0</v>
      </c>
      <c r="AM377" s="70">
        <f t="shared" si="58"/>
        <v>0</v>
      </c>
      <c r="AN377" s="7">
        <f t="shared" si="59"/>
        <v>0</v>
      </c>
    </row>
    <row r="378" spans="18:40" x14ac:dyDescent="0.3">
      <c r="R378" s="27">
        <f>INCENTIVE!$E$8</f>
        <v>130000000</v>
      </c>
      <c r="T378" t="str">
        <f t="shared" si="52"/>
        <v>1</v>
      </c>
      <c r="W378">
        <f t="shared" si="54"/>
        <v>0.25</v>
      </c>
      <c r="X378" s="7">
        <f>'DL 1'!E379</f>
        <v>0</v>
      </c>
      <c r="Y378" s="69">
        <f>'DL 1'!G379</f>
        <v>0</v>
      </c>
      <c r="AC378" t="str">
        <f>IFERROR(VLOOKUP(Y378,Data!$G$65:$K$79,2,0) *X378,"")</f>
        <v/>
      </c>
      <c r="AD378" s="7">
        <f t="shared" si="55"/>
        <v>0</v>
      </c>
      <c r="AE378">
        <f>'DL 1'!F379</f>
        <v>0</v>
      </c>
      <c r="AF378" t="str">
        <f>IFERROR(VLOOKUP(Y378,Data!$G$65:$K$79,4,0),"")</f>
        <v/>
      </c>
      <c r="AG378" s="51" t="e">
        <f>#REF!</f>
        <v>#REF!</v>
      </c>
      <c r="AK378">
        <f t="shared" si="56"/>
        <v>0</v>
      </c>
      <c r="AL378">
        <f t="shared" si="57"/>
        <v>0</v>
      </c>
      <c r="AM378" s="70">
        <f t="shared" si="58"/>
        <v>0</v>
      </c>
      <c r="AN378" s="7">
        <f t="shared" si="59"/>
        <v>0</v>
      </c>
    </row>
    <row r="379" spans="18:40" x14ac:dyDescent="0.3">
      <c r="R379" s="27">
        <f>INCENTIVE!$E$8</f>
        <v>130000000</v>
      </c>
      <c r="T379" t="str">
        <f t="shared" si="52"/>
        <v>1</v>
      </c>
      <c r="W379">
        <f t="shared" si="54"/>
        <v>0.25</v>
      </c>
      <c r="X379" s="7">
        <f>'DL 1'!E380</f>
        <v>0</v>
      </c>
      <c r="Y379" s="69">
        <f>'DL 1'!G380</f>
        <v>0</v>
      </c>
      <c r="AC379" t="str">
        <f>IFERROR(VLOOKUP(Y379,Data!$G$65:$K$79,2,0) *X379,"")</f>
        <v/>
      </c>
      <c r="AD379" s="7">
        <f t="shared" si="55"/>
        <v>0</v>
      </c>
      <c r="AE379">
        <f>'DL 1'!F380</f>
        <v>0</v>
      </c>
      <c r="AF379" t="str">
        <f>IFERROR(VLOOKUP(Y379,Data!$G$65:$K$79,4,0),"")</f>
        <v/>
      </c>
      <c r="AG379" s="51" t="e">
        <f>#REF!</f>
        <v>#REF!</v>
      </c>
      <c r="AK379">
        <f t="shared" si="56"/>
        <v>0</v>
      </c>
      <c r="AL379">
        <f t="shared" si="57"/>
        <v>0</v>
      </c>
      <c r="AM379" s="70">
        <f t="shared" si="58"/>
        <v>0</v>
      </c>
      <c r="AN379" s="7">
        <f t="shared" si="59"/>
        <v>0</v>
      </c>
    </row>
    <row r="380" spans="18:40" x14ac:dyDescent="0.3">
      <c r="R380" s="27">
        <f>INCENTIVE!$E$8</f>
        <v>130000000</v>
      </c>
      <c r="T380" t="str">
        <f t="shared" si="52"/>
        <v>1</v>
      </c>
      <c r="W380">
        <f t="shared" si="54"/>
        <v>0.25</v>
      </c>
      <c r="X380" s="7">
        <f>'DL 1'!E381</f>
        <v>0</v>
      </c>
      <c r="Y380" s="69">
        <f>'DL 1'!G381</f>
        <v>0</v>
      </c>
      <c r="AC380" t="str">
        <f>IFERROR(VLOOKUP(Y380,Data!$G$65:$K$79,2,0) *X380,"")</f>
        <v/>
      </c>
      <c r="AD380" s="7">
        <f t="shared" si="55"/>
        <v>0</v>
      </c>
      <c r="AE380">
        <f>'DL 1'!F381</f>
        <v>0</v>
      </c>
      <c r="AF380" t="str">
        <f>IFERROR(VLOOKUP(Y380,Data!$G$65:$K$79,4,0),"")</f>
        <v/>
      </c>
      <c r="AG380" s="51" t="e">
        <f>#REF!</f>
        <v>#REF!</v>
      </c>
      <c r="AK380">
        <f t="shared" si="56"/>
        <v>0</v>
      </c>
      <c r="AL380">
        <f t="shared" si="57"/>
        <v>0</v>
      </c>
      <c r="AM380" s="70">
        <f t="shared" si="58"/>
        <v>0</v>
      </c>
      <c r="AN380" s="7">
        <f t="shared" si="59"/>
        <v>0</v>
      </c>
    </row>
    <row r="381" spans="18:40" x14ac:dyDescent="0.3">
      <c r="R381" s="27">
        <f>INCENTIVE!$E$8</f>
        <v>130000000</v>
      </c>
      <c r="T381" t="str">
        <f t="shared" si="52"/>
        <v>1</v>
      </c>
      <c r="W381">
        <f t="shared" si="54"/>
        <v>0.25</v>
      </c>
      <c r="X381" s="7">
        <f>'DL 1'!E382</f>
        <v>0</v>
      </c>
      <c r="Y381" s="69">
        <f>'DL 1'!G382</f>
        <v>0</v>
      </c>
      <c r="AC381" t="str">
        <f>IFERROR(VLOOKUP(Y381,Data!$G$65:$K$79,2,0) *X381,"")</f>
        <v/>
      </c>
      <c r="AD381" s="7">
        <f t="shared" si="55"/>
        <v>0</v>
      </c>
      <c r="AE381">
        <f>'DL 1'!F382</f>
        <v>0</v>
      </c>
      <c r="AF381" t="str">
        <f>IFERROR(VLOOKUP(Y381,Data!$G$65:$K$79,4,0),"")</f>
        <v/>
      </c>
      <c r="AG381" s="51" t="e">
        <f>#REF!</f>
        <v>#REF!</v>
      </c>
      <c r="AK381">
        <f t="shared" si="56"/>
        <v>0</v>
      </c>
      <c r="AL381">
        <f t="shared" si="57"/>
        <v>0</v>
      </c>
      <c r="AM381" s="70">
        <f t="shared" si="58"/>
        <v>0</v>
      </c>
      <c r="AN381" s="7">
        <f t="shared" si="59"/>
        <v>0</v>
      </c>
    </row>
    <row r="382" spans="18:40" x14ac:dyDescent="0.3">
      <c r="R382" s="27">
        <f>INCENTIVE!$E$8</f>
        <v>130000000</v>
      </c>
      <c r="T382" t="str">
        <f t="shared" si="52"/>
        <v>1</v>
      </c>
      <c r="W382">
        <f t="shared" si="54"/>
        <v>0.25</v>
      </c>
      <c r="X382" s="7">
        <f>'DL 1'!E383</f>
        <v>0</v>
      </c>
      <c r="Y382" s="69">
        <f>'DL 1'!G383</f>
        <v>0</v>
      </c>
      <c r="AC382" t="str">
        <f>IFERROR(VLOOKUP(Y382,Data!$G$65:$K$79,2,0) *X382,"")</f>
        <v/>
      </c>
      <c r="AD382" s="7">
        <f t="shared" si="55"/>
        <v>0</v>
      </c>
      <c r="AE382">
        <f>'DL 1'!F383</f>
        <v>0</v>
      </c>
      <c r="AF382" t="str">
        <f>IFERROR(VLOOKUP(Y382,Data!$G$65:$K$79,4,0),"")</f>
        <v/>
      </c>
      <c r="AG382" s="51" t="e">
        <f>#REF!</f>
        <v>#REF!</v>
      </c>
      <c r="AK382">
        <f t="shared" si="56"/>
        <v>0</v>
      </c>
      <c r="AL382">
        <f t="shared" si="57"/>
        <v>0</v>
      </c>
      <c r="AM382" s="70">
        <f t="shared" si="58"/>
        <v>0</v>
      </c>
      <c r="AN382" s="7">
        <f t="shared" si="59"/>
        <v>0</v>
      </c>
    </row>
    <row r="383" spans="18:40" x14ac:dyDescent="0.3">
      <c r="R383" s="27">
        <f>INCENTIVE!$E$8</f>
        <v>130000000</v>
      </c>
      <c r="T383" t="str">
        <f t="shared" si="52"/>
        <v>1</v>
      </c>
      <c r="W383">
        <f t="shared" si="54"/>
        <v>0.25</v>
      </c>
      <c r="X383" s="7">
        <f>'DL 1'!E384</f>
        <v>0</v>
      </c>
      <c r="Y383" s="69">
        <f>'DL 1'!G384</f>
        <v>0</v>
      </c>
      <c r="AC383" t="str">
        <f>IFERROR(VLOOKUP(Y383,Data!$G$65:$K$79,2,0) *X383,"")</f>
        <v/>
      </c>
      <c r="AD383" s="7">
        <f t="shared" si="55"/>
        <v>0</v>
      </c>
      <c r="AE383">
        <f>'DL 1'!F384</f>
        <v>0</v>
      </c>
      <c r="AF383" t="str">
        <f>IFERROR(VLOOKUP(Y383,Data!$G$65:$K$79,4,0),"")</f>
        <v/>
      </c>
      <c r="AG383" s="51" t="e">
        <f>#REF!</f>
        <v>#REF!</v>
      </c>
      <c r="AK383">
        <f t="shared" si="56"/>
        <v>0</v>
      </c>
      <c r="AL383">
        <f t="shared" si="57"/>
        <v>0</v>
      </c>
      <c r="AM383" s="70">
        <f t="shared" si="58"/>
        <v>0</v>
      </c>
      <c r="AN383" s="7">
        <f t="shared" si="59"/>
        <v>0</v>
      </c>
    </row>
    <row r="384" spans="18:40" x14ac:dyDescent="0.3">
      <c r="R384" s="27">
        <f>INCENTIVE!$E$8</f>
        <v>130000000</v>
      </c>
      <c r="T384" t="str">
        <f t="shared" si="52"/>
        <v>1</v>
      </c>
      <c r="W384">
        <f t="shared" si="54"/>
        <v>0.25</v>
      </c>
      <c r="X384" s="7">
        <f>'DL 1'!E385</f>
        <v>0</v>
      </c>
      <c r="Y384" s="69">
        <f>'DL 1'!G385</f>
        <v>0</v>
      </c>
      <c r="AC384" t="str">
        <f>IFERROR(VLOOKUP(Y384,Data!$G$65:$K$79,2,0) *X384,"")</f>
        <v/>
      </c>
      <c r="AD384" s="7">
        <f t="shared" si="55"/>
        <v>0</v>
      </c>
      <c r="AE384">
        <f>'DL 1'!F385</f>
        <v>0</v>
      </c>
      <c r="AF384" t="str">
        <f>IFERROR(VLOOKUP(Y384,Data!$G$65:$K$79,4,0),"")</f>
        <v/>
      </c>
      <c r="AG384" s="51" t="e">
        <f>#REF!</f>
        <v>#REF!</v>
      </c>
      <c r="AK384">
        <f t="shared" si="56"/>
        <v>0</v>
      </c>
      <c r="AL384">
        <f t="shared" si="57"/>
        <v>0</v>
      </c>
      <c r="AM384" s="70">
        <f t="shared" si="58"/>
        <v>0</v>
      </c>
      <c r="AN384" s="7">
        <f t="shared" si="59"/>
        <v>0</v>
      </c>
    </row>
    <row r="385" spans="18:40" x14ac:dyDescent="0.3">
      <c r="R385" s="27">
        <f>INCENTIVE!$E$8</f>
        <v>130000000</v>
      </c>
      <c r="T385" t="str">
        <f t="shared" si="52"/>
        <v>1</v>
      </c>
      <c r="W385">
        <f t="shared" si="54"/>
        <v>0.25</v>
      </c>
      <c r="X385" s="7">
        <f>'DL 1'!E386</f>
        <v>0</v>
      </c>
      <c r="Y385" s="69">
        <f>'DL 1'!G386</f>
        <v>0</v>
      </c>
      <c r="AC385" t="str">
        <f>IFERROR(VLOOKUP(Y385,Data!$G$65:$K$79,2,0) *X385,"")</f>
        <v/>
      </c>
      <c r="AD385" s="7">
        <f t="shared" si="55"/>
        <v>0</v>
      </c>
      <c r="AE385">
        <f>'DL 1'!F386</f>
        <v>0</v>
      </c>
      <c r="AF385" t="str">
        <f>IFERROR(VLOOKUP(Y385,Data!$G$65:$K$79,4,0),"")</f>
        <v/>
      </c>
      <c r="AG385" s="51" t="e">
        <f>#REF!</f>
        <v>#REF!</v>
      </c>
      <c r="AK385">
        <f t="shared" si="56"/>
        <v>0</v>
      </c>
      <c r="AL385">
        <f t="shared" si="57"/>
        <v>0</v>
      </c>
      <c r="AM385" s="70">
        <f t="shared" si="58"/>
        <v>0</v>
      </c>
      <c r="AN385" s="7">
        <f t="shared" si="59"/>
        <v>0</v>
      </c>
    </row>
    <row r="386" spans="18:40" x14ac:dyDescent="0.3">
      <c r="R386" s="27">
        <f>INCENTIVE!$E$8</f>
        <v>130000000</v>
      </c>
      <c r="T386" t="str">
        <f t="shared" si="52"/>
        <v>1</v>
      </c>
      <c r="W386">
        <f t="shared" si="54"/>
        <v>0.25</v>
      </c>
      <c r="X386" s="7">
        <f>'DL 1'!E387</f>
        <v>0</v>
      </c>
      <c r="Y386" s="69">
        <f>'DL 1'!G387</f>
        <v>0</v>
      </c>
      <c r="AC386" t="str">
        <f>IFERROR(VLOOKUP(Y386,Data!$G$65:$K$79,2,0) *X386,"")</f>
        <v/>
      </c>
      <c r="AD386" s="7">
        <f t="shared" si="55"/>
        <v>0</v>
      </c>
      <c r="AE386">
        <f>'DL 1'!F387</f>
        <v>0</v>
      </c>
      <c r="AF386" t="str">
        <f>IFERROR(VLOOKUP(Y386,Data!$G$65:$K$79,4,0),"")</f>
        <v/>
      </c>
      <c r="AG386" s="51" t="e">
        <f>#REF!</f>
        <v>#REF!</v>
      </c>
      <c r="AK386">
        <f t="shared" si="56"/>
        <v>0</v>
      </c>
      <c r="AL386">
        <f t="shared" si="57"/>
        <v>0</v>
      </c>
      <c r="AM386" s="70">
        <f t="shared" si="58"/>
        <v>0</v>
      </c>
      <c r="AN386" s="7">
        <f t="shared" si="59"/>
        <v>0</v>
      </c>
    </row>
    <row r="387" spans="18:40" x14ac:dyDescent="0.3">
      <c r="R387" s="27">
        <f>INCENTIVE!$E$8</f>
        <v>130000000</v>
      </c>
      <c r="T387" t="str">
        <f t="shared" ref="T387:T414" si="61">(IF(S387&gt;=24,"5",IF(S387&gt;=18,"4",IF(S387&gt;=15,"3",IF(S387&gt;=12,"2","1")))))</f>
        <v>1</v>
      </c>
      <c r="W387">
        <f t="shared" ref="W387:W415" si="62">IF(AND(V387="6",R387&gt;=7.7),115%,IF(AND(V387="6",R387&gt;=7.5),105%,IF(AND(V387="6",R387&gt;=7.3),100%,IF(AND(V387="6",R387&gt;=7),100%,IF(AND(V387="6",R387&lt;7),100%,IF(AND(V387="5",R387&gt;=7.7),110%,IF(AND(V387="5",R387&gt;=7.5),100%,IF(AND(V387="5",R387&gt;=7.3),100%,IF(AND(V387="5",R387&gt;=7),100%,IF(AND(V387="5",R387&lt;7),100%,IF(AND(V387="4",R387&gt;=7.7),105%,IF(AND(V387="4",R387&gt;=7.5),100%,IF(AND(V387="4",R387&gt;=7.3),95%,IF(AND(V387="4",R387&gt;=7),90%,IF(AND(V387="4",R387&lt;7),80%,IF(AND(V387="3",R387&gt;=7.7),100%,IF(AND(V387="3",R387&gt;=7.5),90%,IF(AND(V387="3",R387&gt;=7.3),80%,IF(AND(V387="3",R387&gt;=7),70%,IF(AND(V387="3",R387&lt;7),60%,IF(AND(V387="2",R387&gt;=7.7),60%,IF(AND(V387="2",R387&gt;=7.5),50%,IF(AND(V387="2",R387&gt;=7.3),35%,IF(AND(V387="2",R387&gt;=7),35%,IF(AND(V387="2",R387&lt;7),25%,25%)))))))))))))))))))))))))</f>
        <v>0.25</v>
      </c>
      <c r="X387" s="7">
        <f>'DL 1'!E388</f>
        <v>0</v>
      </c>
      <c r="Y387" s="69">
        <f>'DL 1'!G388</f>
        <v>0</v>
      </c>
      <c r="AC387" t="str">
        <f>IFERROR(VLOOKUP(Y387,Data!$G$65:$K$79,2,0) *X387,"")</f>
        <v/>
      </c>
      <c r="AD387" s="7">
        <f t="shared" ref="AD387:AD415" si="63">SUM(AC387)</f>
        <v>0</v>
      </c>
      <c r="AE387">
        <f>'DL 1'!F388</f>
        <v>0</v>
      </c>
      <c r="AF387" t="str">
        <f>IFERROR(VLOOKUP(Y387,Data!$G$65:$K$79,4,0),"")</f>
        <v/>
      </c>
      <c r="AG387" s="51" t="e">
        <f>#REF!</f>
        <v>#REF!</v>
      </c>
      <c r="AK387">
        <f t="shared" ref="AK387:AK409" si="64">IF(G387&lt;1,0,IF(G387&lt;12000000,1,IF(AND(G387&gt;=12000000,G387&lt;25000000),2,IF(AND(G387&gt;=25000000,G387&lt;50000000),3,IF(AND(G387&gt;=50000000),4,)))))</f>
        <v>0</v>
      </c>
      <c r="AL387">
        <f t="shared" ref="AL387:AL409" si="65">IF(AND(S387&lt;12,Y387="A"),0.9,IF(AND(S387&lt;12,Y387="B"),0.7,IF(AND(S387&lt;12,Y387="C"),0,IF(AND(S387&lt;12,Y387="D"),0,IF(AND(S387&gt;=12,S387&lt;15,Y387="A"),1.2,IF(AND(S387&gt;=12,S387&lt;15,Y387="B"),1,IF(AND(S387&gt;=12,S387&lt;15,Y387="C"),0.1,IF(AND(S387&gt;=12,S387&lt;15,Y387="D"),0,IF(AND(S387&gt;=15,S387&lt;18,Y387="A"),1.3,IF(AND(S387&gt;=15,S387&lt;18,Y387="B"),1.1,IF(AND(S387&gt;=15,S387&lt;18,Y387="C"),0.3,IF(AND(S387&gt;=15,S387&lt;18,Y387="D"),0,IF(AND(S387&gt;=18,S387&lt;24,Y387="A"),1.5,IF(AND(S387&gt;=18,S387&lt;24,Y387="B"),1.3,IF(AND(S387&gt;=18,S387&lt;24,Y387="C"),0.4,IF(AND(S387&gt;=18,S387&lt;24,Y387="D"),0,IF(AND(S387&gt;=24,Y387="A"),1.6,IF(AND(S387&gt;=24,Y387="B"),1.4,IF(AND(S387&gt;=24,Y387="C"),0.5,IF(AND(S387&gt;=24,Y387="D"),0,))))))))))))))))))))</f>
        <v>0</v>
      </c>
      <c r="AM387" s="70">
        <f t="shared" ref="AM387:AM409" si="66">X387*(AL387/100)</f>
        <v>0</v>
      </c>
      <c r="AN387" s="7">
        <f t="shared" ref="AN387:AN409" si="67">Q387</f>
        <v>0</v>
      </c>
    </row>
    <row r="388" spans="18:40" x14ac:dyDescent="0.3">
      <c r="R388" s="27">
        <f>INCENTIVE!$E$8</f>
        <v>130000000</v>
      </c>
      <c r="T388" t="str">
        <f t="shared" si="61"/>
        <v>1</v>
      </c>
      <c r="W388">
        <f t="shared" si="62"/>
        <v>0.25</v>
      </c>
      <c r="X388" s="7">
        <f>'DL 1'!E389</f>
        <v>0</v>
      </c>
      <c r="Y388" s="69">
        <f>'DL 1'!G389</f>
        <v>0</v>
      </c>
      <c r="AC388" t="str">
        <f>IFERROR(VLOOKUP(Y388,Data!$G$65:$K$79,2,0) *X388,"")</f>
        <v/>
      </c>
      <c r="AD388" s="7">
        <f t="shared" si="63"/>
        <v>0</v>
      </c>
      <c r="AE388">
        <f>'DL 1'!F389</f>
        <v>0</v>
      </c>
      <c r="AF388" t="str">
        <f>IFERROR(VLOOKUP(Y388,Data!$G$65:$K$79,4,0),"")</f>
        <v/>
      </c>
      <c r="AG388" s="51" t="e">
        <f>#REF!</f>
        <v>#REF!</v>
      </c>
      <c r="AK388">
        <f t="shared" si="64"/>
        <v>0</v>
      </c>
      <c r="AL388">
        <f t="shared" si="65"/>
        <v>0</v>
      </c>
      <c r="AM388" s="70">
        <f t="shared" si="66"/>
        <v>0</v>
      </c>
      <c r="AN388" s="7">
        <f t="shared" si="67"/>
        <v>0</v>
      </c>
    </row>
    <row r="389" spans="18:40" x14ac:dyDescent="0.3">
      <c r="R389" s="27">
        <f>INCENTIVE!$E$8</f>
        <v>130000000</v>
      </c>
      <c r="T389" t="str">
        <f t="shared" si="61"/>
        <v>1</v>
      </c>
      <c r="W389">
        <f t="shared" si="62"/>
        <v>0.25</v>
      </c>
      <c r="X389" s="7">
        <f>'DL 1'!E390</f>
        <v>0</v>
      </c>
      <c r="Y389" s="69">
        <f>'DL 1'!G390</f>
        <v>0</v>
      </c>
      <c r="AC389" t="str">
        <f>IFERROR(VLOOKUP(Y389,Data!$G$65:$K$79,2,0) *X389,"")</f>
        <v/>
      </c>
      <c r="AD389" s="7">
        <f t="shared" si="63"/>
        <v>0</v>
      </c>
      <c r="AE389">
        <f>'DL 1'!F390</f>
        <v>0</v>
      </c>
      <c r="AF389" t="str">
        <f>IFERROR(VLOOKUP(Y389,Data!$G$65:$K$79,4,0),"")</f>
        <v/>
      </c>
      <c r="AG389" s="51" t="e">
        <f>#REF!</f>
        <v>#REF!</v>
      </c>
      <c r="AK389">
        <f t="shared" si="64"/>
        <v>0</v>
      </c>
      <c r="AL389">
        <f t="shared" si="65"/>
        <v>0</v>
      </c>
      <c r="AM389" s="70">
        <f t="shared" si="66"/>
        <v>0</v>
      </c>
      <c r="AN389" s="7">
        <f t="shared" si="67"/>
        <v>0</v>
      </c>
    </row>
    <row r="390" spans="18:40" x14ac:dyDescent="0.3">
      <c r="R390" s="27">
        <f>INCENTIVE!$E$8</f>
        <v>130000000</v>
      </c>
      <c r="T390" t="str">
        <f t="shared" si="61"/>
        <v>1</v>
      </c>
      <c r="W390">
        <f t="shared" si="62"/>
        <v>0.25</v>
      </c>
      <c r="X390" s="7">
        <f>'DL 1'!E391</f>
        <v>0</v>
      </c>
      <c r="Y390" s="69">
        <f>'DL 1'!G391</f>
        <v>0</v>
      </c>
      <c r="AC390" t="str">
        <f>IFERROR(VLOOKUP(Y390,Data!$G$65:$K$79,2,0) *X390,"")</f>
        <v/>
      </c>
      <c r="AD390" s="7">
        <f t="shared" si="63"/>
        <v>0</v>
      </c>
      <c r="AE390">
        <f>'DL 1'!F391</f>
        <v>0</v>
      </c>
      <c r="AF390" t="str">
        <f>IFERROR(VLOOKUP(Y390,Data!$G$65:$K$79,4,0),"")</f>
        <v/>
      </c>
      <c r="AG390" s="51" t="e">
        <f>#REF!</f>
        <v>#REF!</v>
      </c>
      <c r="AK390">
        <f t="shared" si="64"/>
        <v>0</v>
      </c>
      <c r="AL390">
        <f t="shared" si="65"/>
        <v>0</v>
      </c>
      <c r="AM390" s="70">
        <f t="shared" si="66"/>
        <v>0</v>
      </c>
      <c r="AN390" s="7">
        <f t="shared" si="67"/>
        <v>0</v>
      </c>
    </row>
    <row r="391" spans="18:40" x14ac:dyDescent="0.3">
      <c r="R391" s="27">
        <f>INCENTIVE!$E$8</f>
        <v>130000000</v>
      </c>
      <c r="T391" t="str">
        <f t="shared" si="61"/>
        <v>1</v>
      </c>
      <c r="W391">
        <f t="shared" si="62"/>
        <v>0.25</v>
      </c>
      <c r="X391" s="7">
        <f>'DL 1'!E392</f>
        <v>0</v>
      </c>
      <c r="Y391" s="69">
        <f>'DL 1'!G392</f>
        <v>0</v>
      </c>
      <c r="AC391" t="str">
        <f>IFERROR(VLOOKUP(Y391,Data!$G$65:$K$79,2,0) *X391,"")</f>
        <v/>
      </c>
      <c r="AD391" s="7">
        <f t="shared" si="63"/>
        <v>0</v>
      </c>
      <c r="AE391">
        <f>'DL 1'!F392</f>
        <v>0</v>
      </c>
      <c r="AF391" t="str">
        <f>IFERROR(VLOOKUP(Y391,Data!$G$65:$K$79,4,0),"")</f>
        <v/>
      </c>
      <c r="AG391" s="51" t="e">
        <f>#REF!</f>
        <v>#REF!</v>
      </c>
      <c r="AK391">
        <f t="shared" si="64"/>
        <v>0</v>
      </c>
      <c r="AL391">
        <f t="shared" si="65"/>
        <v>0</v>
      </c>
      <c r="AM391" s="70">
        <f t="shared" si="66"/>
        <v>0</v>
      </c>
      <c r="AN391" s="7">
        <f t="shared" si="67"/>
        <v>0</v>
      </c>
    </row>
    <row r="392" spans="18:40" x14ac:dyDescent="0.3">
      <c r="R392" s="27">
        <f>INCENTIVE!$E$8</f>
        <v>130000000</v>
      </c>
      <c r="T392" t="str">
        <f t="shared" si="61"/>
        <v>1</v>
      </c>
      <c r="W392">
        <f t="shared" si="62"/>
        <v>0.25</v>
      </c>
      <c r="X392" s="7">
        <f>'DL 1'!E393</f>
        <v>0</v>
      </c>
      <c r="Y392" s="69">
        <f>'DL 1'!G393</f>
        <v>0</v>
      </c>
      <c r="AC392" t="str">
        <f>IFERROR(VLOOKUP(Y392,Data!$G$65:$K$79,2,0) *X392,"")</f>
        <v/>
      </c>
      <c r="AD392" s="7">
        <f t="shared" si="63"/>
        <v>0</v>
      </c>
      <c r="AE392">
        <f>'DL 1'!F393</f>
        <v>0</v>
      </c>
      <c r="AF392" t="str">
        <f>IFERROR(VLOOKUP(Y392,Data!$G$65:$K$79,4,0),"")</f>
        <v/>
      </c>
      <c r="AG392" s="51" t="e">
        <f>#REF!</f>
        <v>#REF!</v>
      </c>
      <c r="AK392">
        <f t="shared" si="64"/>
        <v>0</v>
      </c>
      <c r="AL392">
        <f t="shared" si="65"/>
        <v>0</v>
      </c>
      <c r="AM392" s="70">
        <f t="shared" si="66"/>
        <v>0</v>
      </c>
      <c r="AN392" s="7">
        <f t="shared" si="67"/>
        <v>0</v>
      </c>
    </row>
    <row r="393" spans="18:40" x14ac:dyDescent="0.3">
      <c r="R393" s="27">
        <f>INCENTIVE!$E$8</f>
        <v>130000000</v>
      </c>
      <c r="T393" t="str">
        <f t="shared" si="61"/>
        <v>1</v>
      </c>
      <c r="W393">
        <f t="shared" si="62"/>
        <v>0.25</v>
      </c>
      <c r="X393" s="7">
        <f>'DL 1'!E394</f>
        <v>0</v>
      </c>
      <c r="Y393" s="69">
        <f>'DL 1'!G394</f>
        <v>0</v>
      </c>
      <c r="AC393" t="str">
        <f>IFERROR(VLOOKUP(Y393,Data!$G$65:$K$79,2,0) *X393,"")</f>
        <v/>
      </c>
      <c r="AD393" s="7">
        <f t="shared" si="63"/>
        <v>0</v>
      </c>
      <c r="AE393">
        <f>'DL 1'!F394</f>
        <v>0</v>
      </c>
      <c r="AF393" t="str">
        <f>IFERROR(VLOOKUP(Y393,Data!$G$65:$K$79,4,0),"")</f>
        <v/>
      </c>
      <c r="AG393" s="51" t="e">
        <f>#REF!</f>
        <v>#REF!</v>
      </c>
      <c r="AK393">
        <f t="shared" si="64"/>
        <v>0</v>
      </c>
      <c r="AL393">
        <f t="shared" si="65"/>
        <v>0</v>
      </c>
      <c r="AM393" s="70">
        <f t="shared" si="66"/>
        <v>0</v>
      </c>
      <c r="AN393" s="7">
        <f t="shared" si="67"/>
        <v>0</v>
      </c>
    </row>
    <row r="394" spans="18:40" x14ac:dyDescent="0.3">
      <c r="R394" s="27">
        <f>INCENTIVE!$E$8</f>
        <v>130000000</v>
      </c>
      <c r="T394" t="str">
        <f t="shared" si="61"/>
        <v>1</v>
      </c>
      <c r="W394">
        <f t="shared" si="62"/>
        <v>0.25</v>
      </c>
      <c r="X394" s="7">
        <f>'DL 1'!E395</f>
        <v>0</v>
      </c>
      <c r="Y394" s="69">
        <f>'DL 1'!G395</f>
        <v>0</v>
      </c>
      <c r="AC394" t="str">
        <f>IFERROR(VLOOKUP(Y394,Data!$G$65:$K$79,2,0) *X394,"")</f>
        <v/>
      </c>
      <c r="AD394" s="7">
        <f t="shared" si="63"/>
        <v>0</v>
      </c>
      <c r="AE394">
        <f>'DL 1'!F395</f>
        <v>0</v>
      </c>
      <c r="AF394" t="str">
        <f>IFERROR(VLOOKUP(Y394,Data!$G$65:$K$79,4,0),"")</f>
        <v/>
      </c>
      <c r="AG394" s="51" t="e">
        <f>#REF!</f>
        <v>#REF!</v>
      </c>
      <c r="AK394">
        <f t="shared" si="64"/>
        <v>0</v>
      </c>
      <c r="AL394">
        <f t="shared" si="65"/>
        <v>0</v>
      </c>
      <c r="AM394" s="70">
        <f t="shared" si="66"/>
        <v>0</v>
      </c>
      <c r="AN394" s="7">
        <f t="shared" si="67"/>
        <v>0</v>
      </c>
    </row>
    <row r="395" spans="18:40" x14ac:dyDescent="0.3">
      <c r="R395" s="27">
        <f>INCENTIVE!$E$8</f>
        <v>130000000</v>
      </c>
      <c r="T395" t="str">
        <f t="shared" si="61"/>
        <v>1</v>
      </c>
      <c r="W395">
        <f t="shared" si="62"/>
        <v>0.25</v>
      </c>
      <c r="X395" s="7">
        <f>'DL 1'!E396</f>
        <v>0</v>
      </c>
      <c r="Y395" s="69">
        <f>'DL 1'!G396</f>
        <v>0</v>
      </c>
      <c r="AC395" t="str">
        <f>IFERROR(VLOOKUP(Y395,Data!$G$65:$K$79,2,0) *X395,"")</f>
        <v/>
      </c>
      <c r="AD395" s="7">
        <f t="shared" si="63"/>
        <v>0</v>
      </c>
      <c r="AE395">
        <f>'DL 1'!F396</f>
        <v>0</v>
      </c>
      <c r="AF395" t="str">
        <f>IFERROR(VLOOKUP(Y395,Data!$G$65:$K$79,4,0),"")</f>
        <v/>
      </c>
      <c r="AG395" s="51" t="e">
        <f>#REF!</f>
        <v>#REF!</v>
      </c>
      <c r="AK395">
        <f t="shared" si="64"/>
        <v>0</v>
      </c>
      <c r="AL395">
        <f t="shared" si="65"/>
        <v>0</v>
      </c>
      <c r="AM395" s="70">
        <f t="shared" si="66"/>
        <v>0</v>
      </c>
      <c r="AN395" s="7">
        <f t="shared" si="67"/>
        <v>0</v>
      </c>
    </row>
    <row r="396" spans="18:40" x14ac:dyDescent="0.3">
      <c r="R396" s="27">
        <f>INCENTIVE!$E$8</f>
        <v>130000000</v>
      </c>
      <c r="T396" t="str">
        <f t="shared" si="61"/>
        <v>1</v>
      </c>
      <c r="W396">
        <f t="shared" si="62"/>
        <v>0.25</v>
      </c>
      <c r="X396" s="7">
        <f>'DL 1'!E397</f>
        <v>0</v>
      </c>
      <c r="Y396" s="69">
        <f>'DL 1'!G397</f>
        <v>0</v>
      </c>
      <c r="AC396" t="str">
        <f>IFERROR(VLOOKUP(Y396,Data!$G$65:$K$79,2,0) *X396,"")</f>
        <v/>
      </c>
      <c r="AD396" s="7">
        <f t="shared" si="63"/>
        <v>0</v>
      </c>
      <c r="AE396">
        <f>'DL 1'!F397</f>
        <v>0</v>
      </c>
      <c r="AF396" t="str">
        <f>IFERROR(VLOOKUP(Y396,Data!$G$65:$K$79,4,0),"")</f>
        <v/>
      </c>
      <c r="AG396" s="51" t="e">
        <f>#REF!</f>
        <v>#REF!</v>
      </c>
      <c r="AK396">
        <f t="shared" si="64"/>
        <v>0</v>
      </c>
      <c r="AL396">
        <f t="shared" si="65"/>
        <v>0</v>
      </c>
      <c r="AM396" s="70">
        <f t="shared" si="66"/>
        <v>0</v>
      </c>
      <c r="AN396" s="7">
        <f t="shared" si="67"/>
        <v>0</v>
      </c>
    </row>
    <row r="397" spans="18:40" x14ac:dyDescent="0.3">
      <c r="R397" s="27">
        <f>INCENTIVE!$E$8</f>
        <v>130000000</v>
      </c>
      <c r="T397" t="str">
        <f t="shared" si="61"/>
        <v>1</v>
      </c>
      <c r="W397">
        <f t="shared" si="62"/>
        <v>0.25</v>
      </c>
      <c r="X397" s="7">
        <f>'DL 1'!E398</f>
        <v>0</v>
      </c>
      <c r="Y397" s="69">
        <f>'DL 1'!G398</f>
        <v>0</v>
      </c>
      <c r="AC397" t="str">
        <f>IFERROR(VLOOKUP(Y397,Data!$G$65:$K$79,2,0) *X397,"")</f>
        <v/>
      </c>
      <c r="AD397" s="7">
        <f t="shared" si="63"/>
        <v>0</v>
      </c>
      <c r="AE397">
        <f>'DL 1'!F398</f>
        <v>0</v>
      </c>
      <c r="AF397" t="str">
        <f>IFERROR(VLOOKUP(Y397,Data!$G$65:$K$79,4,0),"")</f>
        <v/>
      </c>
      <c r="AG397" s="51" t="e">
        <f>#REF!</f>
        <v>#REF!</v>
      </c>
      <c r="AK397">
        <f t="shared" si="64"/>
        <v>0</v>
      </c>
      <c r="AL397">
        <f t="shared" si="65"/>
        <v>0</v>
      </c>
      <c r="AM397" s="70">
        <f t="shared" si="66"/>
        <v>0</v>
      </c>
      <c r="AN397" s="7">
        <f t="shared" si="67"/>
        <v>0</v>
      </c>
    </row>
    <row r="398" spans="18:40" x14ac:dyDescent="0.3">
      <c r="R398" s="27">
        <f>INCENTIVE!$E$8</f>
        <v>130000000</v>
      </c>
      <c r="T398" t="str">
        <f t="shared" si="61"/>
        <v>1</v>
      </c>
      <c r="W398">
        <f t="shared" si="62"/>
        <v>0.25</v>
      </c>
      <c r="X398" s="7">
        <f>'DL 1'!E399</f>
        <v>0</v>
      </c>
      <c r="Y398" s="69">
        <f>'DL 1'!G399</f>
        <v>0</v>
      </c>
      <c r="AC398" t="str">
        <f>IFERROR(VLOOKUP(Y398,Data!$G$65:$K$79,2,0) *X398,"")</f>
        <v/>
      </c>
      <c r="AD398" s="7">
        <f t="shared" si="63"/>
        <v>0</v>
      </c>
      <c r="AE398">
        <f>'DL 1'!F399</f>
        <v>0</v>
      </c>
      <c r="AF398" t="str">
        <f>IFERROR(VLOOKUP(Y398,Data!$G$65:$K$79,4,0),"")</f>
        <v/>
      </c>
      <c r="AG398" s="51" t="e">
        <f>#REF!</f>
        <v>#REF!</v>
      </c>
      <c r="AK398">
        <f t="shared" si="64"/>
        <v>0</v>
      </c>
      <c r="AL398">
        <f t="shared" si="65"/>
        <v>0</v>
      </c>
      <c r="AM398" s="70">
        <f t="shared" si="66"/>
        <v>0</v>
      </c>
      <c r="AN398" s="7">
        <f t="shared" si="67"/>
        <v>0</v>
      </c>
    </row>
    <row r="399" spans="18:40" x14ac:dyDescent="0.3">
      <c r="R399" s="27">
        <f>INCENTIVE!$E$8</f>
        <v>130000000</v>
      </c>
      <c r="T399" t="str">
        <f t="shared" si="61"/>
        <v>1</v>
      </c>
      <c r="W399">
        <f t="shared" si="62"/>
        <v>0.25</v>
      </c>
      <c r="X399" s="7">
        <f>'DL 1'!E400</f>
        <v>0</v>
      </c>
      <c r="Y399" s="69">
        <f>'DL 1'!G400</f>
        <v>0</v>
      </c>
      <c r="AC399" t="str">
        <f>IFERROR(VLOOKUP(Y399,Data!$G$65:$K$79,2,0) *X399,"")</f>
        <v/>
      </c>
      <c r="AD399" s="7">
        <f t="shared" si="63"/>
        <v>0</v>
      </c>
      <c r="AE399">
        <f>'DL 1'!F400</f>
        <v>0</v>
      </c>
      <c r="AF399" t="str">
        <f>IFERROR(VLOOKUP(Y399,Data!$G$65:$K$79,4,0),"")</f>
        <v/>
      </c>
      <c r="AG399" s="51" t="e">
        <f>#REF!</f>
        <v>#REF!</v>
      </c>
      <c r="AK399">
        <f t="shared" si="64"/>
        <v>0</v>
      </c>
      <c r="AL399">
        <f t="shared" si="65"/>
        <v>0</v>
      </c>
      <c r="AM399" s="70">
        <f t="shared" si="66"/>
        <v>0</v>
      </c>
      <c r="AN399" s="7">
        <f t="shared" si="67"/>
        <v>0</v>
      </c>
    </row>
    <row r="400" spans="18:40" x14ac:dyDescent="0.3">
      <c r="R400" s="27">
        <f>INCENTIVE!$E$8</f>
        <v>130000000</v>
      </c>
      <c r="T400" t="str">
        <f t="shared" si="61"/>
        <v>1</v>
      </c>
      <c r="W400">
        <f t="shared" si="62"/>
        <v>0.25</v>
      </c>
      <c r="X400" s="7">
        <f>'DL 1'!E401</f>
        <v>0</v>
      </c>
      <c r="Y400" s="69">
        <f>'DL 1'!G401</f>
        <v>0</v>
      </c>
      <c r="AC400" t="str">
        <f>IFERROR(VLOOKUP(Y400,Data!$G$65:$K$79,2,0) *X400,"")</f>
        <v/>
      </c>
      <c r="AD400" s="7">
        <f t="shared" si="63"/>
        <v>0</v>
      </c>
      <c r="AE400">
        <f>'DL 1'!F401</f>
        <v>0</v>
      </c>
      <c r="AF400" t="str">
        <f>IFERROR(VLOOKUP(Y400,Data!$G$65:$K$79,4,0),"")</f>
        <v/>
      </c>
      <c r="AG400" s="51" t="e">
        <f>#REF!</f>
        <v>#REF!</v>
      </c>
      <c r="AK400">
        <f t="shared" si="64"/>
        <v>0</v>
      </c>
      <c r="AL400">
        <f t="shared" si="65"/>
        <v>0</v>
      </c>
      <c r="AM400" s="70">
        <f t="shared" si="66"/>
        <v>0</v>
      </c>
      <c r="AN400" s="7">
        <f t="shared" si="67"/>
        <v>0</v>
      </c>
    </row>
    <row r="401" spans="18:40" x14ac:dyDescent="0.3">
      <c r="R401" s="27">
        <f>INCENTIVE!$E$8</f>
        <v>130000000</v>
      </c>
      <c r="T401" t="str">
        <f t="shared" si="61"/>
        <v>1</v>
      </c>
      <c r="W401">
        <f t="shared" si="62"/>
        <v>0.25</v>
      </c>
      <c r="X401" s="7">
        <f>'DL 1'!E402</f>
        <v>0</v>
      </c>
      <c r="Y401" s="69">
        <f>'DL 1'!G402</f>
        <v>0</v>
      </c>
      <c r="AC401" t="str">
        <f>IFERROR(VLOOKUP(Y401,Data!$G$65:$K$79,2,0) *X401,"")</f>
        <v/>
      </c>
      <c r="AD401" s="7">
        <f t="shared" si="63"/>
        <v>0</v>
      </c>
      <c r="AE401">
        <f>'DL 1'!F402</f>
        <v>0</v>
      </c>
      <c r="AF401" t="str">
        <f>IFERROR(VLOOKUP(Y401,Data!$G$65:$K$79,4,0),"")</f>
        <v/>
      </c>
      <c r="AG401" s="51" t="e">
        <f>#REF!</f>
        <v>#REF!</v>
      </c>
      <c r="AK401">
        <f t="shared" si="64"/>
        <v>0</v>
      </c>
      <c r="AL401">
        <f t="shared" si="65"/>
        <v>0</v>
      </c>
      <c r="AM401" s="70">
        <f t="shared" si="66"/>
        <v>0</v>
      </c>
      <c r="AN401" s="7">
        <f t="shared" si="67"/>
        <v>0</v>
      </c>
    </row>
    <row r="402" spans="18:40" x14ac:dyDescent="0.3">
      <c r="R402" s="27">
        <f>INCENTIVE!$E$8</f>
        <v>130000000</v>
      </c>
      <c r="T402" t="str">
        <f t="shared" si="61"/>
        <v>1</v>
      </c>
      <c r="W402">
        <f t="shared" si="62"/>
        <v>0.25</v>
      </c>
      <c r="X402" s="7">
        <f>'DL 1'!E403</f>
        <v>0</v>
      </c>
      <c r="Y402" s="69">
        <f>'DL 1'!G403</f>
        <v>0</v>
      </c>
      <c r="AC402" t="str">
        <f>IFERROR(VLOOKUP(Y402,Data!$G$65:$K$79,2,0) *X402,"")</f>
        <v/>
      </c>
      <c r="AD402" s="7">
        <f t="shared" si="63"/>
        <v>0</v>
      </c>
      <c r="AE402">
        <f>'DL 1'!F403</f>
        <v>0</v>
      </c>
      <c r="AF402" t="str">
        <f>IFERROR(VLOOKUP(Y402,Data!$G$65:$K$79,4,0),"")</f>
        <v/>
      </c>
      <c r="AG402" s="51" t="e">
        <f>#REF!</f>
        <v>#REF!</v>
      </c>
      <c r="AK402">
        <f t="shared" si="64"/>
        <v>0</v>
      </c>
      <c r="AL402">
        <f t="shared" si="65"/>
        <v>0</v>
      </c>
      <c r="AM402" s="70">
        <f t="shared" si="66"/>
        <v>0</v>
      </c>
      <c r="AN402" s="7">
        <f t="shared" si="67"/>
        <v>0</v>
      </c>
    </row>
    <row r="403" spans="18:40" x14ac:dyDescent="0.3">
      <c r="R403" s="27">
        <f>INCENTIVE!$E$8</f>
        <v>130000000</v>
      </c>
      <c r="T403" t="str">
        <f t="shared" si="61"/>
        <v>1</v>
      </c>
      <c r="W403">
        <f t="shared" si="62"/>
        <v>0.25</v>
      </c>
      <c r="X403" s="7">
        <f>'DL 1'!E404</f>
        <v>0</v>
      </c>
      <c r="Y403" s="69">
        <f>'DL 1'!G404</f>
        <v>0</v>
      </c>
      <c r="AC403" t="str">
        <f>IFERROR(VLOOKUP(Y403,Data!$G$65:$K$79,2,0) *X403,"")</f>
        <v/>
      </c>
      <c r="AD403" s="7">
        <f t="shared" si="63"/>
        <v>0</v>
      </c>
      <c r="AE403">
        <f>'DL 1'!F404</f>
        <v>0</v>
      </c>
      <c r="AF403" t="str">
        <f>IFERROR(VLOOKUP(Y403,Data!$G$65:$K$79,4,0),"")</f>
        <v/>
      </c>
      <c r="AG403" s="51" t="e">
        <f>#REF!</f>
        <v>#REF!</v>
      </c>
      <c r="AK403">
        <f t="shared" si="64"/>
        <v>0</v>
      </c>
      <c r="AL403">
        <f t="shared" si="65"/>
        <v>0</v>
      </c>
      <c r="AM403" s="70">
        <f t="shared" si="66"/>
        <v>0</v>
      </c>
      <c r="AN403" s="7">
        <f t="shared" si="67"/>
        <v>0</v>
      </c>
    </row>
    <row r="404" spans="18:40" x14ac:dyDescent="0.3">
      <c r="R404" s="27">
        <f>INCENTIVE!$E$8</f>
        <v>130000000</v>
      </c>
      <c r="T404" t="str">
        <f t="shared" si="61"/>
        <v>1</v>
      </c>
      <c r="W404">
        <f t="shared" si="62"/>
        <v>0.25</v>
      </c>
      <c r="X404" s="7">
        <f>'DL 1'!E405</f>
        <v>0</v>
      </c>
      <c r="Y404" s="69">
        <f>'DL 1'!G405</f>
        <v>0</v>
      </c>
      <c r="AC404" t="str">
        <f>IFERROR(VLOOKUP(Y404,Data!$G$65:$K$79,2,0) *X404,"")</f>
        <v/>
      </c>
      <c r="AD404" s="7">
        <f t="shared" si="63"/>
        <v>0</v>
      </c>
      <c r="AE404">
        <f>'DL 1'!F405</f>
        <v>0</v>
      </c>
      <c r="AF404" t="str">
        <f>IFERROR(VLOOKUP(Y404,Data!$G$65:$K$79,4,0),"")</f>
        <v/>
      </c>
      <c r="AG404" s="51" t="e">
        <f>#REF!</f>
        <v>#REF!</v>
      </c>
      <c r="AK404">
        <f t="shared" si="64"/>
        <v>0</v>
      </c>
      <c r="AL404">
        <f t="shared" si="65"/>
        <v>0</v>
      </c>
      <c r="AM404" s="70">
        <f t="shared" si="66"/>
        <v>0</v>
      </c>
      <c r="AN404" s="7">
        <f t="shared" si="67"/>
        <v>0</v>
      </c>
    </row>
    <row r="405" spans="18:40" x14ac:dyDescent="0.3">
      <c r="R405" s="27">
        <f>INCENTIVE!$E$8</f>
        <v>130000000</v>
      </c>
      <c r="T405" t="str">
        <f t="shared" si="61"/>
        <v>1</v>
      </c>
      <c r="W405">
        <f t="shared" si="62"/>
        <v>0.25</v>
      </c>
      <c r="X405" s="7">
        <f>'DL 1'!E406</f>
        <v>0</v>
      </c>
      <c r="Y405" s="69">
        <f>'DL 1'!G406</f>
        <v>0</v>
      </c>
      <c r="AC405" t="str">
        <f>IFERROR(VLOOKUP(Y405,Data!$G$65:$K$79,2,0) *X405,"")</f>
        <v/>
      </c>
      <c r="AD405" s="7">
        <f t="shared" si="63"/>
        <v>0</v>
      </c>
      <c r="AE405">
        <f>'DL 1'!F406</f>
        <v>0</v>
      </c>
      <c r="AF405" t="str">
        <f>IFERROR(VLOOKUP(Y405,Data!$G$65:$K$79,4,0),"")</f>
        <v/>
      </c>
      <c r="AG405" s="51" t="e">
        <f>#REF!</f>
        <v>#REF!</v>
      </c>
      <c r="AK405">
        <f t="shared" si="64"/>
        <v>0</v>
      </c>
      <c r="AL405">
        <f t="shared" si="65"/>
        <v>0</v>
      </c>
      <c r="AM405" s="70">
        <f t="shared" si="66"/>
        <v>0</v>
      </c>
      <c r="AN405" s="7">
        <f t="shared" si="67"/>
        <v>0</v>
      </c>
    </row>
    <row r="406" spans="18:40" x14ac:dyDescent="0.3">
      <c r="R406" s="27">
        <f>INCENTIVE!$E$8</f>
        <v>130000000</v>
      </c>
      <c r="T406" t="str">
        <f t="shared" si="61"/>
        <v>1</v>
      </c>
      <c r="W406">
        <f t="shared" si="62"/>
        <v>0.25</v>
      </c>
      <c r="X406" s="7">
        <f>'DL 1'!E407</f>
        <v>0</v>
      </c>
      <c r="AC406" t="str">
        <f>IFERROR(VLOOKUP(Y406,Data!$G$65:$K$79,2,0) *X406,"")</f>
        <v/>
      </c>
      <c r="AD406" s="7">
        <f t="shared" si="63"/>
        <v>0</v>
      </c>
      <c r="AE406">
        <f>'DL 1'!F407</f>
        <v>0</v>
      </c>
      <c r="AF406" t="str">
        <f>IFERROR(VLOOKUP(Y406,Data!$G$65:$K$79,4,0),"")</f>
        <v/>
      </c>
      <c r="AG406" s="51" t="e">
        <f>#REF!</f>
        <v>#REF!</v>
      </c>
      <c r="AK406">
        <f t="shared" si="64"/>
        <v>0</v>
      </c>
      <c r="AL406">
        <f t="shared" si="65"/>
        <v>0</v>
      </c>
      <c r="AM406" s="70">
        <f t="shared" si="66"/>
        <v>0</v>
      </c>
      <c r="AN406" s="7">
        <f t="shared" si="67"/>
        <v>0</v>
      </c>
    </row>
    <row r="407" spans="18:40" x14ac:dyDescent="0.3">
      <c r="R407" s="27">
        <f>INCENTIVE!$E$8</f>
        <v>130000000</v>
      </c>
      <c r="T407" t="str">
        <f t="shared" si="61"/>
        <v>1</v>
      </c>
      <c r="W407">
        <f t="shared" si="62"/>
        <v>0.25</v>
      </c>
      <c r="X407" s="7">
        <f>'DL 1'!E408</f>
        <v>0</v>
      </c>
      <c r="AC407" t="str">
        <f>IFERROR(VLOOKUP(Y407,Data!$G$65:$K$79,2,0) *X407,"")</f>
        <v/>
      </c>
      <c r="AD407" s="7">
        <f t="shared" si="63"/>
        <v>0</v>
      </c>
      <c r="AE407">
        <f>'DL 1'!F408</f>
        <v>0</v>
      </c>
      <c r="AF407" t="str">
        <f>IFERROR(VLOOKUP(Y407,Data!$G$65:$K$79,4,0),"")</f>
        <v/>
      </c>
      <c r="AG407" s="51" t="e">
        <f>#REF!</f>
        <v>#REF!</v>
      </c>
      <c r="AK407">
        <f t="shared" si="64"/>
        <v>0</v>
      </c>
      <c r="AL407">
        <f t="shared" si="65"/>
        <v>0</v>
      </c>
      <c r="AM407" s="70">
        <f t="shared" si="66"/>
        <v>0</v>
      </c>
      <c r="AN407" s="7">
        <f t="shared" si="67"/>
        <v>0</v>
      </c>
    </row>
    <row r="408" spans="18:40" x14ac:dyDescent="0.3">
      <c r="R408" s="27">
        <f>INCENTIVE!$E$8</f>
        <v>130000000</v>
      </c>
      <c r="T408" t="str">
        <f t="shared" si="61"/>
        <v>1</v>
      </c>
      <c r="W408">
        <f t="shared" si="62"/>
        <v>0.25</v>
      </c>
      <c r="X408" s="7">
        <f>'DL 1'!E409</f>
        <v>0</v>
      </c>
      <c r="AC408" t="str">
        <f>IFERROR(VLOOKUP(Y408,Data!$G$65:$K$79,2,0) *X408,"")</f>
        <v/>
      </c>
      <c r="AD408" s="7">
        <f t="shared" si="63"/>
        <v>0</v>
      </c>
      <c r="AE408">
        <f>'DL 1'!F409</f>
        <v>0</v>
      </c>
      <c r="AF408" t="str">
        <f>IFERROR(VLOOKUP(Y408,Data!$G$65:$K$79,4,0),"")</f>
        <v/>
      </c>
      <c r="AG408" s="51" t="e">
        <f>#REF!</f>
        <v>#REF!</v>
      </c>
      <c r="AK408">
        <f t="shared" si="64"/>
        <v>0</v>
      </c>
      <c r="AL408">
        <f t="shared" si="65"/>
        <v>0</v>
      </c>
      <c r="AM408" s="70">
        <f t="shared" si="66"/>
        <v>0</v>
      </c>
      <c r="AN408" s="7">
        <f t="shared" si="67"/>
        <v>0</v>
      </c>
    </row>
    <row r="409" spans="18:40" x14ac:dyDescent="0.3">
      <c r="R409" s="27">
        <f>INCENTIVE!$E$8</f>
        <v>130000000</v>
      </c>
      <c r="T409" t="str">
        <f t="shared" si="61"/>
        <v>1</v>
      </c>
      <c r="W409">
        <f t="shared" si="62"/>
        <v>0.25</v>
      </c>
      <c r="X409" s="7">
        <f>'DL 1'!E410</f>
        <v>0</v>
      </c>
      <c r="AC409" t="str">
        <f>IFERROR(VLOOKUP(Y409,Data!$G$65:$K$79,2,0) *X409,"")</f>
        <v/>
      </c>
      <c r="AD409" s="7">
        <f t="shared" si="63"/>
        <v>0</v>
      </c>
      <c r="AE409">
        <f>'DL 1'!F410</f>
        <v>0</v>
      </c>
      <c r="AF409" t="str">
        <f>IFERROR(VLOOKUP(Y409,Data!$G$65:$K$79,4,0),"")</f>
        <v/>
      </c>
      <c r="AG409" s="51" t="e">
        <f>#REF!</f>
        <v>#REF!</v>
      </c>
      <c r="AK409">
        <f t="shared" si="64"/>
        <v>0</v>
      </c>
      <c r="AL409">
        <f t="shared" si="65"/>
        <v>0</v>
      </c>
      <c r="AM409" s="70">
        <f t="shared" si="66"/>
        <v>0</v>
      </c>
      <c r="AN409" s="7">
        <f t="shared" si="67"/>
        <v>0</v>
      </c>
    </row>
    <row r="410" spans="18:40" x14ac:dyDescent="0.3">
      <c r="R410" s="27">
        <f>INCENTIVE!$E$8</f>
        <v>130000000</v>
      </c>
      <c r="T410" t="str">
        <f t="shared" si="61"/>
        <v>1</v>
      </c>
      <c r="W410">
        <f t="shared" si="62"/>
        <v>0.25</v>
      </c>
      <c r="X410" s="7">
        <f>'DL 1'!E411</f>
        <v>0</v>
      </c>
      <c r="AC410" t="str">
        <f>IFERROR(VLOOKUP(Y410,Data!$G$65:$K$79,2,0) *X410,"")</f>
        <v/>
      </c>
      <c r="AD410" s="7">
        <f t="shared" si="63"/>
        <v>0</v>
      </c>
      <c r="AE410">
        <f>'DL 1'!F411</f>
        <v>0</v>
      </c>
      <c r="AF410" t="str">
        <f>IFERROR(VLOOKUP(Y410,Data!$G$65:$K$79,4,0),"")</f>
        <v/>
      </c>
      <c r="AG410" s="51" t="e">
        <f>#REF!</f>
        <v>#REF!</v>
      </c>
    </row>
    <row r="411" spans="18:40" x14ac:dyDescent="0.3">
      <c r="R411" s="27">
        <f>INCENTIVE!$E$8</f>
        <v>130000000</v>
      </c>
      <c r="T411" t="str">
        <f t="shared" si="61"/>
        <v>1</v>
      </c>
      <c r="W411">
        <f t="shared" si="62"/>
        <v>0.25</v>
      </c>
      <c r="X411" s="7">
        <f>'DL 1'!E412</f>
        <v>0</v>
      </c>
      <c r="AC411" t="str">
        <f>IFERROR(VLOOKUP(Y411,Data!$G$65:$K$79,2,0) *X411,"")</f>
        <v/>
      </c>
      <c r="AD411" s="7">
        <f t="shared" si="63"/>
        <v>0</v>
      </c>
      <c r="AE411">
        <f>'DL 1'!F412</f>
        <v>0</v>
      </c>
      <c r="AF411" t="str">
        <f>IFERROR(VLOOKUP(Y411,Data!$G$65:$K$79,4,0),"")</f>
        <v/>
      </c>
      <c r="AG411" s="51" t="e">
        <f>#REF!</f>
        <v>#REF!</v>
      </c>
    </row>
    <row r="412" spans="18:40" x14ac:dyDescent="0.3">
      <c r="R412" s="27">
        <f>INCENTIVE!$E$8</f>
        <v>130000000</v>
      </c>
      <c r="T412" t="str">
        <f t="shared" si="61"/>
        <v>1</v>
      </c>
      <c r="W412">
        <f t="shared" si="62"/>
        <v>0.25</v>
      </c>
      <c r="X412" s="7">
        <f>'DL 1'!E413</f>
        <v>0</v>
      </c>
      <c r="AC412" t="str">
        <f>IFERROR(VLOOKUP(Y412,Data!$G$65:$K$79,2,0) *X412,"")</f>
        <v/>
      </c>
      <c r="AD412" s="7">
        <f t="shared" si="63"/>
        <v>0</v>
      </c>
      <c r="AE412">
        <f>'DL 1'!F413</f>
        <v>0</v>
      </c>
      <c r="AF412" t="str">
        <f>IFERROR(VLOOKUP(Y412,Data!$G$65:$K$79,4,0),"")</f>
        <v/>
      </c>
      <c r="AG412" s="51" t="e">
        <f>#REF!</f>
        <v>#REF!</v>
      </c>
    </row>
    <row r="413" spans="18:40" x14ac:dyDescent="0.3">
      <c r="R413" s="27">
        <f>INCENTIVE!$E$8</f>
        <v>130000000</v>
      </c>
      <c r="T413" t="str">
        <f t="shared" si="61"/>
        <v>1</v>
      </c>
      <c r="W413">
        <f t="shared" si="62"/>
        <v>0.25</v>
      </c>
      <c r="X413" s="7">
        <f>'DL 1'!E414</f>
        <v>0</v>
      </c>
      <c r="AC413" t="str">
        <f>IFERROR(VLOOKUP(Y413,Data!$G$65:$K$79,2,0) *X413,"")</f>
        <v/>
      </c>
      <c r="AD413" s="7">
        <f t="shared" si="63"/>
        <v>0</v>
      </c>
      <c r="AE413">
        <f>'DL 1'!F414</f>
        <v>0</v>
      </c>
      <c r="AF413" t="str">
        <f>IFERROR(VLOOKUP(Y413,Data!$G$65:$K$79,4,0),"")</f>
        <v/>
      </c>
      <c r="AG413" s="51" t="e">
        <f>#REF!</f>
        <v>#REF!</v>
      </c>
    </row>
    <row r="414" spans="18:40" x14ac:dyDescent="0.3">
      <c r="R414" s="27">
        <f>INCENTIVE!$E$8</f>
        <v>130000000</v>
      </c>
      <c r="T414" t="str">
        <f t="shared" si="61"/>
        <v>1</v>
      </c>
      <c r="W414">
        <f t="shared" si="62"/>
        <v>0.25</v>
      </c>
      <c r="X414" s="7">
        <f>'DL 1'!E415</f>
        <v>0</v>
      </c>
      <c r="AC414" t="str">
        <f>IFERROR(VLOOKUP(Y414,Data!$G$65:$K$79,2,0) *X414,"")</f>
        <v/>
      </c>
      <c r="AD414" s="7">
        <f t="shared" si="63"/>
        <v>0</v>
      </c>
      <c r="AE414">
        <f>'DL 1'!F415</f>
        <v>0</v>
      </c>
      <c r="AF414" t="str">
        <f>IFERROR(VLOOKUP(Y414,Data!$G$65:$K$79,4,0),"")</f>
        <v/>
      </c>
      <c r="AG414" s="51" t="e">
        <f>#REF!</f>
        <v>#REF!</v>
      </c>
    </row>
    <row r="415" spans="18:40" x14ac:dyDescent="0.3">
      <c r="W415">
        <f t="shared" si="62"/>
        <v>0.25</v>
      </c>
      <c r="X415" s="7">
        <f>'DL 1'!E416</f>
        <v>0</v>
      </c>
      <c r="AD415" s="7">
        <f t="shared" si="63"/>
        <v>0</v>
      </c>
      <c r="AE415">
        <f>'DL 1'!F416</f>
        <v>0</v>
      </c>
      <c r="AF415" t="str">
        <f>IFERROR(VLOOKUP(Y415,Data!$G$65:$K$79,4,0),"")</f>
        <v/>
      </c>
      <c r="AG415" s="51" t="e">
        <f>#REF!</f>
        <v>#REF!</v>
      </c>
    </row>
  </sheetData>
  <sheetProtection selectLockedCells="1" selectUn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89"/>
  <sheetViews>
    <sheetView topLeftCell="A36" workbookViewId="0">
      <selection activeCell="B64" sqref="B64"/>
    </sheetView>
  </sheetViews>
  <sheetFormatPr defaultColWidth="8.88671875" defaultRowHeight="14.4" x14ac:dyDescent="0.3"/>
  <cols>
    <col min="1" max="1" width="15.44140625" style="33" customWidth="1"/>
    <col min="2" max="2" width="38.44140625" style="33" bestFit="1" customWidth="1"/>
    <col min="3" max="3" width="8.88671875" style="33"/>
    <col min="4" max="4" width="5" style="33" bestFit="1" customWidth="1"/>
    <col min="5" max="6" width="8.88671875" style="33"/>
    <col min="7" max="7" width="20.5546875" style="33" bestFit="1" customWidth="1"/>
    <col min="8" max="8" width="10.109375" style="33" bestFit="1" customWidth="1"/>
    <col min="9" max="9" width="9" style="33" bestFit="1" customWidth="1"/>
    <col min="10" max="10" width="15.88671875" style="33" bestFit="1" customWidth="1"/>
    <col min="11" max="11" width="10.109375" style="33" customWidth="1"/>
    <col min="12" max="16384" width="8.88671875" style="33"/>
  </cols>
  <sheetData>
    <row r="1" spans="1:13" ht="15" thickBot="1" x14ac:dyDescent="0.35">
      <c r="A1" s="9"/>
      <c r="B1" s="9"/>
      <c r="C1" s="9"/>
    </row>
    <row r="2" spans="1:13" ht="19.8" thickBot="1" x14ac:dyDescent="0.35">
      <c r="A2" s="33" t="s">
        <v>28</v>
      </c>
      <c r="B2" s="33" t="s">
        <v>29</v>
      </c>
      <c r="C2" s="33" t="s">
        <v>27</v>
      </c>
      <c r="D2" s="33">
        <v>0</v>
      </c>
      <c r="F2" s="34"/>
      <c r="G2" s="113" t="s">
        <v>23</v>
      </c>
      <c r="H2" s="114"/>
      <c r="I2" s="114"/>
      <c r="J2" s="114"/>
      <c r="K2" s="115"/>
    </row>
    <row r="3" spans="1:13" ht="47.4" thickBot="1" x14ac:dyDescent="0.35">
      <c r="A3" s="33" t="s">
        <v>19</v>
      </c>
      <c r="B3" s="33" t="s">
        <v>30</v>
      </c>
      <c r="C3" s="33" t="s">
        <v>27</v>
      </c>
      <c r="D3" s="33">
        <v>0</v>
      </c>
      <c r="F3" s="35" t="s">
        <v>22</v>
      </c>
      <c r="G3" s="36" t="s">
        <v>24</v>
      </c>
      <c r="H3" s="37" t="s">
        <v>25</v>
      </c>
      <c r="I3" s="37" t="s">
        <v>25</v>
      </c>
      <c r="J3" s="37" t="s">
        <v>26</v>
      </c>
      <c r="K3" s="38" t="s">
        <v>25</v>
      </c>
    </row>
    <row r="4" spans="1:13" ht="16.2" thickBot="1" x14ac:dyDescent="0.35">
      <c r="A4" s="33" t="s">
        <v>31</v>
      </c>
      <c r="B4" s="33" t="s">
        <v>32</v>
      </c>
      <c r="C4" s="33" t="s">
        <v>27</v>
      </c>
      <c r="D4" s="33">
        <v>0</v>
      </c>
      <c r="F4" s="39"/>
      <c r="G4" s="40">
        <v>1</v>
      </c>
      <c r="H4" s="40">
        <v>7</v>
      </c>
      <c r="I4" s="40">
        <v>7.3</v>
      </c>
      <c r="J4" s="40">
        <v>7.5</v>
      </c>
      <c r="K4" s="40">
        <v>7.7</v>
      </c>
    </row>
    <row r="5" spans="1:13" ht="16.2" thickBot="1" x14ac:dyDescent="0.35">
      <c r="A5" s="33" t="s">
        <v>17</v>
      </c>
      <c r="B5" s="33" t="s">
        <v>33</v>
      </c>
      <c r="C5" s="33" t="s">
        <v>27</v>
      </c>
      <c r="D5" s="33">
        <v>0</v>
      </c>
      <c r="F5" s="41">
        <v>1</v>
      </c>
      <c r="G5" s="42">
        <v>0.25</v>
      </c>
      <c r="H5" s="42">
        <v>0.25</v>
      </c>
      <c r="I5" s="42">
        <v>0.25</v>
      </c>
      <c r="J5" s="42">
        <v>0.25</v>
      </c>
      <c r="K5" s="42">
        <v>0.25</v>
      </c>
    </row>
    <row r="6" spans="1:13" ht="16.2" thickBot="1" x14ac:dyDescent="0.35">
      <c r="A6" s="33" t="s">
        <v>34</v>
      </c>
      <c r="B6" s="33" t="s">
        <v>35</v>
      </c>
      <c r="C6" s="33" t="s">
        <v>27</v>
      </c>
      <c r="D6" s="33">
        <v>0</v>
      </c>
      <c r="F6" s="41">
        <v>6</v>
      </c>
      <c r="G6" s="42">
        <v>0.25</v>
      </c>
      <c r="H6" s="42">
        <v>0.35</v>
      </c>
      <c r="I6" s="42">
        <v>0.35</v>
      </c>
      <c r="J6" s="42">
        <v>0.5</v>
      </c>
      <c r="K6" s="42">
        <v>0.6</v>
      </c>
    </row>
    <row r="7" spans="1:13" ht="16.2" thickBot="1" x14ac:dyDescent="0.35">
      <c r="A7" s="33" t="s">
        <v>36</v>
      </c>
      <c r="B7" s="33" t="s">
        <v>37</v>
      </c>
      <c r="C7" s="33" t="s">
        <v>27</v>
      </c>
      <c r="D7" s="33">
        <v>0</v>
      </c>
      <c r="F7" s="41">
        <v>7</v>
      </c>
      <c r="G7" s="42">
        <v>0.6</v>
      </c>
      <c r="H7" s="42">
        <v>0.7</v>
      </c>
      <c r="I7" s="42">
        <v>0.8</v>
      </c>
      <c r="J7" s="42">
        <v>0.9</v>
      </c>
      <c r="K7" s="42">
        <v>1</v>
      </c>
    </row>
    <row r="8" spans="1:13" ht="16.2" thickBot="1" x14ac:dyDescent="0.35">
      <c r="A8" s="33" t="s">
        <v>39</v>
      </c>
      <c r="B8" s="33" t="s">
        <v>40</v>
      </c>
      <c r="C8" s="33" t="s">
        <v>38</v>
      </c>
      <c r="D8" s="33">
        <v>0.75</v>
      </c>
      <c r="F8" s="41">
        <v>8</v>
      </c>
      <c r="G8" s="42">
        <v>0.8</v>
      </c>
      <c r="H8" s="42">
        <v>0.9</v>
      </c>
      <c r="I8" s="42">
        <v>0.95</v>
      </c>
      <c r="J8" s="42">
        <v>1</v>
      </c>
      <c r="K8" s="42">
        <v>1.05</v>
      </c>
    </row>
    <row r="9" spans="1:13" ht="16.2" thickBot="1" x14ac:dyDescent="0.35">
      <c r="A9" s="33" t="s">
        <v>41</v>
      </c>
      <c r="B9" s="33" t="s">
        <v>42</v>
      </c>
      <c r="C9" s="33" t="s">
        <v>38</v>
      </c>
      <c r="D9" s="33">
        <v>0.75</v>
      </c>
      <c r="F9" s="41">
        <v>9</v>
      </c>
      <c r="G9" s="42">
        <v>1</v>
      </c>
      <c r="H9" s="42">
        <v>1</v>
      </c>
      <c r="I9" s="42">
        <v>1</v>
      </c>
      <c r="J9" s="42">
        <v>1</v>
      </c>
      <c r="K9" s="42">
        <v>1.1000000000000001</v>
      </c>
    </row>
    <row r="10" spans="1:13" ht="16.2" thickBot="1" x14ac:dyDescent="0.35">
      <c r="A10" s="33" t="s">
        <v>43</v>
      </c>
      <c r="B10" s="33" t="s">
        <v>44</v>
      </c>
      <c r="C10" s="33" t="s">
        <v>27</v>
      </c>
      <c r="D10" s="33">
        <v>0.25</v>
      </c>
      <c r="F10" s="41">
        <v>12</v>
      </c>
      <c r="G10" s="42">
        <v>1</v>
      </c>
      <c r="H10" s="42">
        <v>1</v>
      </c>
      <c r="I10" s="42">
        <v>1</v>
      </c>
      <c r="J10" s="42">
        <v>1.05</v>
      </c>
      <c r="K10" s="42">
        <v>1.1499999999999999</v>
      </c>
    </row>
    <row r="11" spans="1:13" x14ac:dyDescent="0.3">
      <c r="A11" s="33" t="s">
        <v>16</v>
      </c>
      <c r="B11" s="33" t="s">
        <v>45</v>
      </c>
      <c r="C11" s="33" t="s">
        <v>27</v>
      </c>
      <c r="D11" s="33">
        <v>0.25</v>
      </c>
    </row>
    <row r="12" spans="1:13" ht="15.6" x14ac:dyDescent="0.3">
      <c r="A12" s="33" t="s">
        <v>46</v>
      </c>
      <c r="B12" s="33" t="s">
        <v>47</v>
      </c>
      <c r="C12" s="33" t="s">
        <v>27</v>
      </c>
      <c r="D12" s="33">
        <v>0</v>
      </c>
      <c r="H12" s="43"/>
    </row>
    <row r="13" spans="1:13" x14ac:dyDescent="0.3">
      <c r="A13" s="33" t="s">
        <v>48</v>
      </c>
      <c r="B13" s="33" t="s">
        <v>49</v>
      </c>
      <c r="C13" s="33" t="s">
        <v>27</v>
      </c>
      <c r="D13" s="33">
        <v>0</v>
      </c>
    </row>
    <row r="14" spans="1:13" x14ac:dyDescent="0.3">
      <c r="A14" s="33" t="s">
        <v>50</v>
      </c>
      <c r="B14" s="33" t="s">
        <v>47</v>
      </c>
      <c r="C14" s="33" t="s">
        <v>27</v>
      </c>
      <c r="D14" s="33">
        <v>0</v>
      </c>
      <c r="G14" s="33" t="s">
        <v>143</v>
      </c>
      <c r="H14" s="33">
        <v>1</v>
      </c>
      <c r="I14" s="33">
        <v>60</v>
      </c>
      <c r="J14" s="33">
        <v>100</v>
      </c>
      <c r="K14" s="33">
        <v>150</v>
      </c>
      <c r="L14" s="33">
        <v>200</v>
      </c>
      <c r="M14" s="33">
        <v>300</v>
      </c>
    </row>
    <row r="15" spans="1:13" x14ac:dyDescent="0.3">
      <c r="A15" s="33" t="s">
        <v>51</v>
      </c>
      <c r="B15" s="33" t="s">
        <v>52</v>
      </c>
      <c r="C15" s="33" t="s">
        <v>38</v>
      </c>
      <c r="D15" s="33">
        <v>0.75</v>
      </c>
      <c r="G15" s="33" t="s">
        <v>144</v>
      </c>
      <c r="H15" s="33">
        <v>0</v>
      </c>
      <c r="I15" s="33">
        <v>600</v>
      </c>
      <c r="J15" s="33">
        <v>800</v>
      </c>
      <c r="K15" s="33">
        <v>1100</v>
      </c>
      <c r="L15" s="33">
        <v>1300</v>
      </c>
      <c r="M15" s="33">
        <v>1800</v>
      </c>
    </row>
    <row r="16" spans="1:13" x14ac:dyDescent="0.3">
      <c r="A16" s="33" t="s">
        <v>53</v>
      </c>
      <c r="B16" s="33" t="s">
        <v>54</v>
      </c>
      <c r="C16" s="33" t="s">
        <v>38</v>
      </c>
      <c r="D16" s="33">
        <v>0.75</v>
      </c>
    </row>
    <row r="17" spans="1:13" x14ac:dyDescent="0.3">
      <c r="A17" s="33" t="s">
        <v>56</v>
      </c>
      <c r="B17" s="33" t="s">
        <v>57</v>
      </c>
      <c r="C17" s="33" t="s">
        <v>55</v>
      </c>
      <c r="D17" s="33">
        <v>0.5</v>
      </c>
      <c r="G17" s="33" t="s">
        <v>145</v>
      </c>
      <c r="H17" s="33">
        <v>0</v>
      </c>
      <c r="I17" s="33">
        <v>0.9</v>
      </c>
      <c r="J17" s="33">
        <v>1</v>
      </c>
      <c r="K17" s="33">
        <v>1.1000000000000001</v>
      </c>
      <c r="L17" s="33">
        <v>1.2</v>
      </c>
    </row>
    <row r="18" spans="1:13" x14ac:dyDescent="0.3">
      <c r="A18" s="33" t="s">
        <v>58</v>
      </c>
      <c r="B18" s="33" t="s">
        <v>59</v>
      </c>
      <c r="C18" s="33" t="s">
        <v>55</v>
      </c>
      <c r="D18" s="33">
        <v>0.5</v>
      </c>
      <c r="G18" s="33" t="s">
        <v>146</v>
      </c>
      <c r="H18" s="33">
        <v>0</v>
      </c>
      <c r="I18" s="33">
        <v>0.7</v>
      </c>
      <c r="J18" s="33">
        <v>1</v>
      </c>
      <c r="K18" s="33">
        <v>1.3</v>
      </c>
      <c r="L18" s="33">
        <v>1.6</v>
      </c>
    </row>
    <row r="19" spans="1:13" x14ac:dyDescent="0.3">
      <c r="A19" s="33" t="s">
        <v>61</v>
      </c>
      <c r="B19" s="33" t="s">
        <v>62</v>
      </c>
      <c r="C19" s="33" t="s">
        <v>60</v>
      </c>
      <c r="D19" s="33">
        <v>1.5</v>
      </c>
    </row>
    <row r="20" spans="1:13" x14ac:dyDescent="0.3">
      <c r="A20" s="33" t="s">
        <v>20</v>
      </c>
      <c r="B20" s="33" t="s">
        <v>63</v>
      </c>
      <c r="C20" s="33" t="s">
        <v>60</v>
      </c>
      <c r="D20" s="33">
        <v>1.5</v>
      </c>
    </row>
    <row r="21" spans="1:13" x14ac:dyDescent="0.3">
      <c r="A21" s="33" t="s">
        <v>64</v>
      </c>
      <c r="B21" s="33" t="s">
        <v>65</v>
      </c>
      <c r="C21" s="33" t="s">
        <v>60</v>
      </c>
      <c r="D21" s="33">
        <v>1.5</v>
      </c>
    </row>
    <row r="22" spans="1:13" x14ac:dyDescent="0.3">
      <c r="A22" s="33" t="s">
        <v>66</v>
      </c>
      <c r="B22" s="33" t="s">
        <v>67</v>
      </c>
      <c r="C22" s="33" t="s">
        <v>60</v>
      </c>
      <c r="D22" s="33">
        <v>1.5</v>
      </c>
      <c r="G22" s="33" t="s">
        <v>147</v>
      </c>
      <c r="H22" s="33" t="s">
        <v>148</v>
      </c>
      <c r="L22" s="33" t="s">
        <v>157</v>
      </c>
    </row>
    <row r="23" spans="1:13" x14ac:dyDescent="0.3">
      <c r="A23" s="33" t="s">
        <v>68</v>
      </c>
      <c r="B23" s="33" t="s">
        <v>69</v>
      </c>
      <c r="C23" s="33" t="s">
        <v>38</v>
      </c>
      <c r="D23" s="33">
        <v>0.75</v>
      </c>
      <c r="G23" s="33" t="s">
        <v>149</v>
      </c>
      <c r="H23" s="33">
        <v>1</v>
      </c>
      <c r="I23" s="33">
        <v>6</v>
      </c>
      <c r="J23" s="33">
        <v>12</v>
      </c>
      <c r="L23" s="33" t="s">
        <v>158</v>
      </c>
      <c r="M23" s="33">
        <v>7</v>
      </c>
    </row>
    <row r="24" spans="1:13" x14ac:dyDescent="0.3">
      <c r="A24" s="33" t="s">
        <v>70</v>
      </c>
      <c r="B24" s="33" t="s">
        <v>71</v>
      </c>
      <c r="C24" s="33" t="s">
        <v>38</v>
      </c>
      <c r="D24" s="33">
        <v>0.75</v>
      </c>
      <c r="G24" s="44">
        <v>2000000</v>
      </c>
      <c r="H24" s="44">
        <v>8000</v>
      </c>
      <c r="I24" s="44">
        <v>10000</v>
      </c>
      <c r="J24" s="44">
        <v>12000</v>
      </c>
      <c r="L24" s="33" t="s">
        <v>159</v>
      </c>
      <c r="M24" s="44">
        <v>6</v>
      </c>
    </row>
    <row r="25" spans="1:13" x14ac:dyDescent="0.3">
      <c r="A25" s="33" t="s">
        <v>72</v>
      </c>
      <c r="B25" s="33" t="s">
        <v>73</v>
      </c>
      <c r="C25" s="33" t="s">
        <v>60</v>
      </c>
      <c r="D25" s="33">
        <v>2</v>
      </c>
      <c r="G25" s="44">
        <v>4000000</v>
      </c>
      <c r="H25" s="44">
        <v>10000</v>
      </c>
      <c r="I25" s="44">
        <v>16000</v>
      </c>
      <c r="J25" s="44">
        <v>22000</v>
      </c>
      <c r="L25" s="33" t="s">
        <v>160</v>
      </c>
      <c r="M25" s="44">
        <v>5</v>
      </c>
    </row>
    <row r="26" spans="1:13" x14ac:dyDescent="0.3">
      <c r="A26" s="33" t="s">
        <v>18</v>
      </c>
      <c r="B26" s="33" t="s">
        <v>74</v>
      </c>
      <c r="C26" s="33" t="s">
        <v>60</v>
      </c>
      <c r="D26" s="33">
        <v>2</v>
      </c>
      <c r="G26" s="44">
        <v>7000000</v>
      </c>
      <c r="H26" s="44">
        <v>12000</v>
      </c>
      <c r="I26" s="44">
        <v>18000</v>
      </c>
      <c r="J26" s="44">
        <v>25000</v>
      </c>
      <c r="L26" s="33" t="s">
        <v>161</v>
      </c>
      <c r="M26" s="44">
        <v>4</v>
      </c>
    </row>
    <row r="27" spans="1:13" x14ac:dyDescent="0.3">
      <c r="A27" s="33" t="s">
        <v>76</v>
      </c>
      <c r="B27" s="33" t="s">
        <v>77</v>
      </c>
      <c r="C27" s="33" t="s">
        <v>75</v>
      </c>
      <c r="D27" s="33">
        <v>1</v>
      </c>
      <c r="G27" s="44">
        <v>12000000</v>
      </c>
      <c r="H27" s="44">
        <v>18000</v>
      </c>
      <c r="I27" s="44">
        <v>30000</v>
      </c>
      <c r="J27" s="44">
        <v>35000</v>
      </c>
      <c r="L27" s="33" t="s">
        <v>162</v>
      </c>
      <c r="M27" s="44">
        <v>3</v>
      </c>
    </row>
    <row r="28" spans="1:13" x14ac:dyDescent="0.3">
      <c r="A28" s="33" t="s">
        <v>78</v>
      </c>
      <c r="B28" s="33" t="s">
        <v>79</v>
      </c>
      <c r="C28" s="33" t="s">
        <v>75</v>
      </c>
      <c r="D28" s="33">
        <v>1</v>
      </c>
      <c r="G28" s="44">
        <v>25000000</v>
      </c>
      <c r="H28" s="44">
        <v>25000</v>
      </c>
      <c r="I28" s="44">
        <v>35000</v>
      </c>
      <c r="J28" s="44">
        <v>40000</v>
      </c>
      <c r="L28" s="33" t="s">
        <v>163</v>
      </c>
      <c r="M28" s="44">
        <v>2</v>
      </c>
    </row>
    <row r="29" spans="1:13" x14ac:dyDescent="0.3">
      <c r="A29" s="33" t="s">
        <v>80</v>
      </c>
      <c r="B29" s="33" t="s">
        <v>81</v>
      </c>
      <c r="C29" s="33" t="s">
        <v>75</v>
      </c>
      <c r="D29" s="33">
        <v>1</v>
      </c>
      <c r="L29" s="33" t="s">
        <v>164</v>
      </c>
      <c r="M29" s="44">
        <v>1</v>
      </c>
    </row>
    <row r="30" spans="1:13" x14ac:dyDescent="0.3">
      <c r="A30" s="33" t="s">
        <v>82</v>
      </c>
      <c r="B30" s="33" t="s">
        <v>83</v>
      </c>
      <c r="C30" s="33" t="s">
        <v>75</v>
      </c>
      <c r="D30" s="33">
        <v>1</v>
      </c>
      <c r="L30" s="33" t="s">
        <v>165</v>
      </c>
      <c r="M30" s="44">
        <v>0</v>
      </c>
    </row>
    <row r="31" spans="1:13" x14ac:dyDescent="0.3">
      <c r="A31" s="33" t="s">
        <v>84</v>
      </c>
      <c r="B31" s="33" t="s">
        <v>85</v>
      </c>
      <c r="C31" s="33" t="s">
        <v>75</v>
      </c>
      <c r="D31" s="33">
        <v>1</v>
      </c>
      <c r="G31" s="44"/>
    </row>
    <row r="32" spans="1:13" x14ac:dyDescent="0.3">
      <c r="A32" s="33" t="s">
        <v>86</v>
      </c>
      <c r="B32" s="33" t="s">
        <v>87</v>
      </c>
      <c r="C32" s="33" t="s">
        <v>75</v>
      </c>
      <c r="D32" s="33">
        <v>1</v>
      </c>
      <c r="G32" s="44" t="s">
        <v>8</v>
      </c>
      <c r="H32" s="33" t="s">
        <v>146</v>
      </c>
      <c r="I32" s="33" t="s">
        <v>9</v>
      </c>
      <c r="J32" s="33" t="s">
        <v>146</v>
      </c>
    </row>
    <row r="33" spans="1:11" x14ac:dyDescent="0.3">
      <c r="A33" s="33" t="s">
        <v>88</v>
      </c>
      <c r="B33" s="33" t="s">
        <v>89</v>
      </c>
      <c r="C33" s="33" t="s">
        <v>75</v>
      </c>
      <c r="D33" s="33">
        <v>1</v>
      </c>
      <c r="G33" s="33">
        <v>0</v>
      </c>
      <c r="H33" s="33">
        <v>0.3</v>
      </c>
      <c r="I33" s="33">
        <v>0</v>
      </c>
      <c r="J33" s="33">
        <v>-0.3</v>
      </c>
    </row>
    <row r="34" spans="1:11" x14ac:dyDescent="0.3">
      <c r="A34" s="33" t="s">
        <v>90</v>
      </c>
      <c r="B34" s="33" t="s">
        <v>91</v>
      </c>
      <c r="C34" s="33" t="s">
        <v>75</v>
      </c>
      <c r="D34" s="33">
        <v>1</v>
      </c>
      <c r="G34" s="33">
        <v>0.65</v>
      </c>
      <c r="H34" s="33">
        <v>0.7</v>
      </c>
      <c r="I34" s="33">
        <v>0.91</v>
      </c>
      <c r="J34" s="33">
        <v>0</v>
      </c>
    </row>
    <row r="35" spans="1:11" x14ac:dyDescent="0.3">
      <c r="A35" s="33" t="s">
        <v>92</v>
      </c>
      <c r="B35" s="33" t="s">
        <v>93</v>
      </c>
      <c r="C35" s="33" t="s">
        <v>27</v>
      </c>
      <c r="D35" s="33">
        <v>0</v>
      </c>
      <c r="G35" s="33">
        <v>0.91</v>
      </c>
      <c r="H35" s="33">
        <v>1</v>
      </c>
      <c r="I35" s="33">
        <v>0.95</v>
      </c>
      <c r="J35" s="33">
        <v>0.4</v>
      </c>
    </row>
    <row r="36" spans="1:11" x14ac:dyDescent="0.3">
      <c r="A36" s="33" t="s">
        <v>94</v>
      </c>
      <c r="B36" s="33" t="s">
        <v>95</v>
      </c>
      <c r="C36" s="33" t="s">
        <v>27</v>
      </c>
      <c r="D36" s="33">
        <v>0</v>
      </c>
      <c r="G36" s="33">
        <v>0.96</v>
      </c>
      <c r="H36" s="33">
        <v>1.2</v>
      </c>
      <c r="I36" s="33">
        <v>0.98</v>
      </c>
      <c r="J36" s="33">
        <v>0.5</v>
      </c>
    </row>
    <row r="37" spans="1:11" x14ac:dyDescent="0.3">
      <c r="A37" s="33" t="s">
        <v>96</v>
      </c>
      <c r="B37" s="33" t="s">
        <v>97</v>
      </c>
      <c r="C37" s="33" t="s">
        <v>27</v>
      </c>
      <c r="D37" s="33">
        <v>0</v>
      </c>
      <c r="G37" s="33">
        <v>0.98</v>
      </c>
      <c r="H37" s="33">
        <v>1.4</v>
      </c>
    </row>
    <row r="38" spans="1:11" x14ac:dyDescent="0.3">
      <c r="A38" s="33" t="s">
        <v>98</v>
      </c>
      <c r="B38" s="33" t="s">
        <v>99</v>
      </c>
      <c r="C38" s="33" t="s">
        <v>27</v>
      </c>
      <c r="D38" s="33">
        <v>0</v>
      </c>
    </row>
    <row r="39" spans="1:11" x14ac:dyDescent="0.3">
      <c r="A39" s="33" t="s">
        <v>100</v>
      </c>
      <c r="B39" s="33" t="s">
        <v>101</v>
      </c>
      <c r="C39" s="33" t="s">
        <v>27</v>
      </c>
      <c r="D39" s="33">
        <v>0</v>
      </c>
      <c r="J39" s="33" t="s">
        <v>234</v>
      </c>
    </row>
    <row r="40" spans="1:11" x14ac:dyDescent="0.3">
      <c r="A40" s="33" t="s">
        <v>102</v>
      </c>
      <c r="B40" s="33" t="s">
        <v>103</v>
      </c>
      <c r="C40" s="33" t="s">
        <v>27</v>
      </c>
      <c r="D40" s="33">
        <v>0</v>
      </c>
      <c r="G40" s="33" t="s">
        <v>167</v>
      </c>
      <c r="I40" s="33" t="s">
        <v>8</v>
      </c>
      <c r="J40" s="78">
        <f>INCENTIVE!E26</f>
        <v>98</v>
      </c>
      <c r="K40" s="76">
        <f>IF(AND(J40&lt;75%,J41&lt;75%),0,IF(AND(J40&gt;=75%,J40&lt;85%,J41&lt;75%),0,IF(AND(J40&gt;=85%,J40&lt;90%,J41&lt;75%),0.2,IF(AND(J40&gt;=90%,J41&lt;75%),0.4,IF(AND(J40="N/A",J41&lt;75%),0,IF(AND(J40&lt;75%,J41&gt;=75%,J41&lt;85%),0,IF(AND(J40&gt;=75%,J40&lt;85%,J41&gt;=75%,J41&lt;85%),0.6,IF(AND(J40&gt;=85%,J40&lt;90%,J41&gt;=75%,J41&lt;85%),0.8,IF(AND(J40&gt;=90%,J41&gt;=75%,J41&lt;85%),1.1,IF(AND(J40="N/A",J41&gt;=75%,J41&lt;85%),0.8,IF(AND(J40&lt;75%,J41&gt;=85%),0,IF(AND(J40&gt;=75%,J40&lt;85%,J41&gt;=85%),0.8,IF(AND(J40&gt;=85%,J40&lt;90%,J41&gt;=85%),1.1,IF(AND(J40&gt;=90%,J41&gt;=85%),1.3,IF(AND(J40="N/A",J41&gt;=85%),1,IF(AND(J40&lt;75%,J41&gt;=85%),0,IF(AND(J40&gt;=75%,J40&lt;85%,J41&gt;=85%),0.8,IF(AND(J40&gt;=85%,J40&lt;90%,J41&gt;=85%),1.1,IF(AND(J40&gt;=90%,J41&gt;=85%),1.3,IF(AND(J40="N/A",J41&gt;85%),1,IF(AND(J40&lt;75%,J41="N/A"),0,IF(AND(J40&gt;=75%,J40&lt;85%,J41="N/A"),0.8,IF(AND(J40&gt;=85%,J40&lt;90%,J41="N/A"),1,IF(AND(J40&gt;=90%,J41="N/A"),1,IF(AND(J40="N/A",J41="N/A"),1,)))))))))))))))))))))))))</f>
        <v>1.3</v>
      </c>
    </row>
    <row r="41" spans="1:11" x14ac:dyDescent="0.3">
      <c r="A41" s="33" t="s">
        <v>104</v>
      </c>
      <c r="B41" s="33" t="s">
        <v>105</v>
      </c>
      <c r="C41" s="33" t="s">
        <v>27</v>
      </c>
      <c r="D41" s="33">
        <v>0</v>
      </c>
      <c r="G41" s="33">
        <v>0.01</v>
      </c>
      <c r="H41" s="33">
        <v>0</v>
      </c>
      <c r="I41" s="33" t="s">
        <v>9</v>
      </c>
      <c r="J41" s="78">
        <f>INCENTIVE!F26</f>
        <v>98</v>
      </c>
      <c r="K41" s="76">
        <f>IF(AND(J41&lt;75%,J42&lt;75%),0,IF(AND(J41&gt;=75%,J41&lt;85%,J42&lt;75%),0,IF(AND(J41&gt;=85%,J41&lt;90%,J42&lt;75%),0.2,IF(AND(J41&gt;=90%,J42&lt;75%),0.4,IF(AND(J41="N/A",J42&lt;75%),0,IF(AND(J41&lt;75%,J42&gt;=75%,J42&lt;85%),0,IF(AND(J41&gt;=75%,J41&lt;85%,J42&gt;=75%,J42&lt;85%),0.6,IF(AND(J41&gt;=85%,J41&lt;90%,J42&gt;=75%,J42&lt;85%),0.8,IF(AND(J41&gt;=90%,J42&gt;=75%,J42&lt;85%),1.1,IF(AND(J41="N/A",J42&gt;=75%,J42&lt;85%),0.8,IF(AND(J41&lt;75%,J42&gt;=85%),0,IF(AND(J41&gt;=75%,J41&lt;85%,J42&gt;=85%),0.8,IF(AND(J41&gt;=85%,J41&lt;90%,J42&gt;=85%),1.1,IF(AND(J41&gt;=90%,J42&gt;=85%),1.3,IF(AND(J41="N/A",J42&gt;=85%),1,IF(AND(J41&lt;75%,J42&gt;=85%),0,IF(AND(J41&gt;=75%,J41&lt;85%,J42&gt;=85%),0.8,IF(AND(J41&gt;=85%,J41&lt;90%,J42&gt;=85%),1.1,IF(AND(J41&gt;=90%,J42&gt;=85%),1.3,IF(AND(J41="N/A",J42&gt;85%),1,IF(AND(J41&lt;75%,J42="N/A"),0,IF(AND(J41&gt;=75%,J41&lt;85%,J42="N/A"),0.8,IF(AND(J41&gt;=85%,J41&lt;90%,J42="N/A"),1,IF(AND(J41&gt;=90%,J42="N/A"),1,IF(AND(J41="N/A",J42="N/A"),1,)))))))))))))))))))))))))</f>
        <v>0.4</v>
      </c>
    </row>
    <row r="42" spans="1:11" x14ac:dyDescent="0.3">
      <c r="A42" s="33" t="s">
        <v>21</v>
      </c>
      <c r="B42" s="33" t="s">
        <v>106</v>
      </c>
      <c r="C42" s="33" t="s">
        <v>27</v>
      </c>
      <c r="D42" s="33">
        <v>0</v>
      </c>
      <c r="G42" s="33">
        <v>0.75</v>
      </c>
      <c r="H42" s="33">
        <v>0.5</v>
      </c>
    </row>
    <row r="43" spans="1:11" x14ac:dyDescent="0.3">
      <c r="A43" s="33" t="s">
        <v>107</v>
      </c>
      <c r="B43" s="33" t="s">
        <v>108</v>
      </c>
      <c r="C43" s="33" t="s">
        <v>60</v>
      </c>
      <c r="D43" s="33">
        <v>1</v>
      </c>
      <c r="G43" s="33">
        <v>0.9</v>
      </c>
      <c r="H43" s="33">
        <v>1</v>
      </c>
    </row>
    <row r="44" spans="1:11" x14ac:dyDescent="0.3">
      <c r="A44" s="33" t="s">
        <v>109</v>
      </c>
      <c r="B44" s="33" t="s">
        <v>110</v>
      </c>
      <c r="C44" s="33" t="s">
        <v>60</v>
      </c>
      <c r="D44" s="33">
        <v>1</v>
      </c>
    </row>
    <row r="45" spans="1:11" x14ac:dyDescent="0.3">
      <c r="A45" s="33" t="s">
        <v>111</v>
      </c>
      <c r="B45" s="33" t="s">
        <v>112</v>
      </c>
      <c r="C45" s="33" t="s">
        <v>60</v>
      </c>
      <c r="D45" s="33">
        <v>1</v>
      </c>
      <c r="I45" s="33" t="s">
        <v>241</v>
      </c>
      <c r="J45" s="79">
        <f>INCENTIVE!$E$8/INCENTIVE!$D$8</f>
        <v>0.56521739130434778</v>
      </c>
    </row>
    <row r="46" spans="1:11" x14ac:dyDescent="0.3">
      <c r="A46" s="33" t="s">
        <v>113</v>
      </c>
      <c r="B46" s="33" t="s">
        <v>114</v>
      </c>
      <c r="C46" s="33" t="s">
        <v>60</v>
      </c>
      <c r="D46" s="33">
        <v>1</v>
      </c>
      <c r="I46" s="33" t="s">
        <v>246</v>
      </c>
      <c r="J46" s="79">
        <f>SUM(J47:J48)/SUM(J49:J50)</f>
        <v>0.90943396226415096</v>
      </c>
    </row>
    <row r="47" spans="1:11" x14ac:dyDescent="0.3">
      <c r="A47" s="33" t="s">
        <v>115</v>
      </c>
      <c r="B47" s="33" t="s">
        <v>116</v>
      </c>
      <c r="C47" s="33" t="s">
        <v>60</v>
      </c>
      <c r="D47" s="33">
        <v>1</v>
      </c>
      <c r="G47" s="33" t="s">
        <v>178</v>
      </c>
      <c r="I47" s="33" t="s">
        <v>242</v>
      </c>
      <c r="J47" s="80">
        <f>INCENTIVE!E8</f>
        <v>130000000</v>
      </c>
    </row>
    <row r="48" spans="1:11" x14ac:dyDescent="0.3">
      <c r="A48" s="33" t="s">
        <v>117</v>
      </c>
      <c r="B48" s="33" t="s">
        <v>118</v>
      </c>
      <c r="C48" s="33" t="s">
        <v>60</v>
      </c>
      <c r="D48" s="33">
        <v>1</v>
      </c>
      <c r="G48" s="33" t="s">
        <v>179</v>
      </c>
      <c r="I48" s="33" t="s">
        <v>243</v>
      </c>
      <c r="J48" s="80" cm="1">
        <f t="array" ref="J48">Table3[GIẢI NGÂN DL]</f>
        <v>352000000</v>
      </c>
    </row>
    <row r="49" spans="1:12" x14ac:dyDescent="0.3">
      <c r="A49" s="33" t="s">
        <v>119</v>
      </c>
      <c r="B49" s="33" t="s">
        <v>120</v>
      </c>
      <c r="C49" s="33" t="s">
        <v>60</v>
      </c>
      <c r="D49" s="33">
        <v>1</v>
      </c>
      <c r="I49" s="33" t="s">
        <v>244</v>
      </c>
      <c r="J49" s="80">
        <f>INCENTIVE!$D$8</f>
        <v>230000000</v>
      </c>
    </row>
    <row r="50" spans="1:12" x14ac:dyDescent="0.3">
      <c r="A50" s="33" t="s">
        <v>121</v>
      </c>
      <c r="B50" s="33" t="s">
        <v>122</v>
      </c>
      <c r="C50" s="33" t="s">
        <v>60</v>
      </c>
      <c r="D50" s="33">
        <v>1</v>
      </c>
      <c r="I50" s="33" t="s">
        <v>245</v>
      </c>
      <c r="J50" s="80">
        <f>INCENTIVE!$C$8</f>
        <v>300000000</v>
      </c>
    </row>
    <row r="51" spans="1:12" x14ac:dyDescent="0.3">
      <c r="A51" s="33" t="s">
        <v>123</v>
      </c>
      <c r="B51" s="33" t="s">
        <v>124</v>
      </c>
      <c r="C51" s="33" t="s">
        <v>60</v>
      </c>
      <c r="D51" s="33">
        <v>1</v>
      </c>
      <c r="J51" s="33" t="s">
        <v>240</v>
      </c>
    </row>
    <row r="52" spans="1:12" x14ac:dyDescent="0.3">
      <c r="A52" s="33" t="s">
        <v>125</v>
      </c>
      <c r="B52" s="33" t="s">
        <v>126</v>
      </c>
      <c r="C52" s="33" t="s">
        <v>60</v>
      </c>
      <c r="D52" s="33">
        <v>1</v>
      </c>
      <c r="K52" s="76" t="s">
        <v>247</v>
      </c>
    </row>
    <row r="53" spans="1:12" x14ac:dyDescent="0.3">
      <c r="A53" s="33" t="s">
        <v>127</v>
      </c>
      <c r="B53" s="33" t="s">
        <v>128</v>
      </c>
      <c r="C53" s="33" t="s">
        <v>60</v>
      </c>
      <c r="D53" s="33">
        <v>1</v>
      </c>
      <c r="K53" s="33">
        <f>IF(AND(J45&lt;50%,J46&lt;75%),0,IF(AND(J45&gt;=50%,J45&lt;75%,J46&lt;75%),0,IF(AND(J45&gt;=75%,J45&lt;90%,J46&lt;75%),0,IF(AND(J45&gt;=90%,J46&lt;75%),0,IF(AND(J45&lt;50%,J46&gt;=75%,J46&lt;90%),0,IF(AND(J45&gt;=50%,J45&lt;75%,J46&gt;=75%,J46&lt;90%),0.6,IF(AND(J45&gt;=75%,J45&lt;90%,J46&gt;=75%,J46&lt;90%),0.7,IF(AND(J45&gt;=90%,J46&gt;=75%,J46&lt;90%),1,IF(AND(J45&lt;50%,J46&gt;=90%,J46&lt;100%),0,IF(AND(J45&gt;=50%,J45&lt;75%,J46&gt;=90%,J46&lt;100%),0.8,IF(AND(J45&gt;=75%,J45&lt;90%,J46&gt;=75%,J46&lt;90%),0.7,IF(AND(J45&gt;=90%,J46&gt;=90%,J46&lt;100%),1.1,IF(AND(J45&lt;50%,J46&gt;=100%,J46&lt;115%),0,IF(AND(J45&gt;=50%,J45&lt;75%,J46&gt;=100%,J46&lt;115%),1.1,IF(AND(J45&gt;=75%,J45&lt;90%,J46&gt;=100%,J46&lt;115%),1.2,IF(AND(J45&gt;=90%,J46&gt;100%,J46&lt;115%),1.4,IF(AND(J45&lt;50%,J46&gt;=115%),0,IF(AND(J45&gt;=50%,J45&lt;75%,J46&gt;=115%),1.3,IF(AND(J45&gt;=75%,J45&lt;90%,J46&gt;=115%),1.5,IF(AND(J45&gt;=90%,J46&gt;100%,J46&gt;115%),1.8,))))))))))))))))))))</f>
        <v>0.8</v>
      </c>
    </row>
    <row r="54" spans="1:12" x14ac:dyDescent="0.3">
      <c r="A54" s="33" t="s">
        <v>129</v>
      </c>
      <c r="B54" s="33" t="s">
        <v>130</v>
      </c>
      <c r="C54" s="33" t="s">
        <v>60</v>
      </c>
      <c r="D54" s="33">
        <v>1</v>
      </c>
    </row>
    <row r="55" spans="1:12" x14ac:dyDescent="0.3">
      <c r="A55" s="33" t="s">
        <v>131</v>
      </c>
      <c r="B55" s="33" t="s">
        <v>132</v>
      </c>
      <c r="C55" s="33" t="s">
        <v>60</v>
      </c>
      <c r="D55" s="33">
        <v>1</v>
      </c>
    </row>
    <row r="56" spans="1:12" x14ac:dyDescent="0.3">
      <c r="A56" s="33" t="s">
        <v>133</v>
      </c>
      <c r="B56" s="33" t="s">
        <v>134</v>
      </c>
      <c r="C56" s="33" t="s">
        <v>60</v>
      </c>
      <c r="D56" s="33">
        <v>1</v>
      </c>
    </row>
    <row r="57" spans="1:12" x14ac:dyDescent="0.3">
      <c r="A57" s="33" t="s">
        <v>135</v>
      </c>
      <c r="B57" s="33" t="s">
        <v>136</v>
      </c>
      <c r="C57" s="33" t="s">
        <v>60</v>
      </c>
      <c r="D57" s="33">
        <v>1</v>
      </c>
    </row>
    <row r="58" spans="1:12" x14ac:dyDescent="0.3">
      <c r="A58" s="33" t="s">
        <v>137</v>
      </c>
      <c r="B58" s="33" t="s">
        <v>138</v>
      </c>
      <c r="C58" s="33" t="s">
        <v>60</v>
      </c>
      <c r="D58" s="33">
        <v>1</v>
      </c>
    </row>
    <row r="59" spans="1:12" x14ac:dyDescent="0.3">
      <c r="A59" s="33" t="s">
        <v>139</v>
      </c>
      <c r="B59" s="33" t="s">
        <v>140</v>
      </c>
      <c r="C59" s="33" t="s">
        <v>60</v>
      </c>
      <c r="D59" s="33">
        <v>1</v>
      </c>
    </row>
    <row r="60" spans="1:12" x14ac:dyDescent="0.3">
      <c r="A60" s="33" t="s">
        <v>141</v>
      </c>
      <c r="B60" s="33" t="s">
        <v>142</v>
      </c>
      <c r="C60" s="33" t="s">
        <v>60</v>
      </c>
      <c r="D60" s="33">
        <v>1</v>
      </c>
    </row>
    <row r="61" spans="1:12" x14ac:dyDescent="0.3">
      <c r="A61" s="9"/>
      <c r="B61" s="9"/>
      <c r="C61" s="9"/>
    </row>
    <row r="62" spans="1:12" x14ac:dyDescent="0.3">
      <c r="A62" s="33" t="s">
        <v>184</v>
      </c>
      <c r="C62" s="33" t="s">
        <v>27</v>
      </c>
      <c r="D62" s="33">
        <v>0.25</v>
      </c>
    </row>
    <row r="63" spans="1:12" x14ac:dyDescent="0.3">
      <c r="A63" s="33" t="s">
        <v>185</v>
      </c>
      <c r="C63" s="33" t="s">
        <v>27</v>
      </c>
      <c r="D63" s="33">
        <v>0.5</v>
      </c>
    </row>
    <row r="64" spans="1:12" x14ac:dyDescent="0.3">
      <c r="A64" s="33" t="s">
        <v>183</v>
      </c>
      <c r="C64" s="33" t="s">
        <v>27</v>
      </c>
      <c r="D64" s="33">
        <v>0</v>
      </c>
      <c r="G64" s="117" t="s">
        <v>226</v>
      </c>
      <c r="H64" s="116" t="s">
        <v>227</v>
      </c>
      <c r="I64" s="116"/>
      <c r="J64" s="116"/>
      <c r="K64" s="116"/>
      <c r="L64" s="116"/>
    </row>
    <row r="65" spans="1:15" x14ac:dyDescent="0.3">
      <c r="A65" s="33" t="s">
        <v>186</v>
      </c>
      <c r="C65" s="33" t="s">
        <v>27</v>
      </c>
      <c r="D65" s="33">
        <v>0.25</v>
      </c>
      <c r="F65" s="46"/>
      <c r="G65" s="117"/>
      <c r="H65" s="47">
        <v>1</v>
      </c>
      <c r="I65" s="47">
        <v>2</v>
      </c>
      <c r="J65" s="47">
        <v>3</v>
      </c>
      <c r="K65" s="47">
        <v>4</v>
      </c>
      <c r="L65" s="45">
        <v>5</v>
      </c>
    </row>
    <row r="66" spans="1:15" x14ac:dyDescent="0.3">
      <c r="A66" s="33" t="s">
        <v>187</v>
      </c>
      <c r="C66" s="33" t="s">
        <v>27</v>
      </c>
      <c r="D66" s="33">
        <v>0</v>
      </c>
      <c r="F66" s="46"/>
      <c r="G66" s="67" t="s">
        <v>161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</row>
    <row r="67" spans="1:15" x14ac:dyDescent="0.3">
      <c r="A67" s="33" t="s">
        <v>188</v>
      </c>
      <c r="C67" s="33" t="s">
        <v>27</v>
      </c>
      <c r="D67" s="33">
        <v>0</v>
      </c>
      <c r="F67" s="46"/>
      <c r="G67" s="67" t="s">
        <v>160</v>
      </c>
      <c r="H67" s="47">
        <v>0</v>
      </c>
      <c r="I67" s="47">
        <v>0.1</v>
      </c>
      <c r="J67" s="47">
        <v>0.3</v>
      </c>
      <c r="K67" s="47">
        <v>0.4</v>
      </c>
      <c r="L67" s="45">
        <v>0.5</v>
      </c>
    </row>
    <row r="68" spans="1:15" x14ac:dyDescent="0.3">
      <c r="A68" s="33" t="s">
        <v>182</v>
      </c>
      <c r="C68" s="33" t="s">
        <v>27</v>
      </c>
      <c r="D68" s="33">
        <v>0.25</v>
      </c>
      <c r="F68" s="46"/>
      <c r="G68" s="67" t="s">
        <v>159</v>
      </c>
      <c r="H68" s="47">
        <v>0.7</v>
      </c>
      <c r="I68" s="47">
        <v>1</v>
      </c>
      <c r="J68" s="47">
        <v>1.1000000000000001</v>
      </c>
      <c r="K68" s="47">
        <v>1.3</v>
      </c>
      <c r="L68" s="45">
        <v>1.4</v>
      </c>
    </row>
    <row r="69" spans="1:15" x14ac:dyDescent="0.3">
      <c r="A69" s="33" t="s">
        <v>189</v>
      </c>
      <c r="C69" s="33" t="s">
        <v>38</v>
      </c>
      <c r="D69" s="33">
        <v>0</v>
      </c>
      <c r="F69" s="46"/>
      <c r="G69" s="67" t="s">
        <v>158</v>
      </c>
      <c r="H69" s="47">
        <v>0.9</v>
      </c>
      <c r="I69" s="47">
        <v>1.2</v>
      </c>
      <c r="J69" s="47">
        <v>1.3</v>
      </c>
      <c r="K69" s="47">
        <v>1.5</v>
      </c>
      <c r="L69" s="45">
        <v>1.6</v>
      </c>
    </row>
    <row r="70" spans="1:15" x14ac:dyDescent="0.3">
      <c r="A70" s="45" t="s">
        <v>201</v>
      </c>
      <c r="C70" s="33" t="s">
        <v>38</v>
      </c>
      <c r="D70" s="33">
        <v>1</v>
      </c>
      <c r="F70" s="46"/>
      <c r="G70" s="46"/>
      <c r="H70" s="46" t="s">
        <v>161</v>
      </c>
      <c r="I70" s="46" t="s">
        <v>160</v>
      </c>
      <c r="J70" s="46" t="s">
        <v>159</v>
      </c>
      <c r="K70" s="46" t="s">
        <v>158</v>
      </c>
      <c r="L70" s="46"/>
      <c r="M70" s="46"/>
      <c r="N70" s="46"/>
      <c r="O70" s="46"/>
    </row>
    <row r="71" spans="1:15" x14ac:dyDescent="0.3">
      <c r="A71" s="45" t="s">
        <v>202</v>
      </c>
      <c r="C71" s="33" t="s">
        <v>55</v>
      </c>
      <c r="D71" s="45">
        <v>0.7</v>
      </c>
      <c r="F71" s="46">
        <v>1</v>
      </c>
      <c r="G71" s="46">
        <v>1</v>
      </c>
      <c r="H71" s="46">
        <v>0</v>
      </c>
      <c r="I71" s="46">
        <v>0</v>
      </c>
      <c r="J71" s="46">
        <v>0.7</v>
      </c>
      <c r="K71" s="46">
        <v>0.9</v>
      </c>
      <c r="L71" s="46"/>
      <c r="M71" s="46"/>
      <c r="N71" s="46"/>
      <c r="O71" s="46"/>
    </row>
    <row r="72" spans="1:15" x14ac:dyDescent="0.3">
      <c r="A72" s="45" t="s">
        <v>201</v>
      </c>
      <c r="C72" s="33" t="s">
        <v>38</v>
      </c>
      <c r="D72" s="33">
        <v>0.5</v>
      </c>
      <c r="F72" s="46">
        <v>12</v>
      </c>
      <c r="G72" s="46">
        <v>2</v>
      </c>
      <c r="H72" s="46">
        <v>0</v>
      </c>
      <c r="I72" s="46">
        <v>0.1</v>
      </c>
      <c r="J72" s="46">
        <v>1</v>
      </c>
      <c r="K72" s="46">
        <v>1.2</v>
      </c>
      <c r="L72" s="46"/>
      <c r="M72" s="46"/>
      <c r="N72" s="46"/>
      <c r="O72" s="46"/>
    </row>
    <row r="73" spans="1:15" x14ac:dyDescent="0.3">
      <c r="A73" s="33" t="s">
        <v>190</v>
      </c>
      <c r="C73" s="33" t="s">
        <v>27</v>
      </c>
      <c r="D73" s="33">
        <v>1.1000000000000001</v>
      </c>
      <c r="F73" s="46">
        <v>15</v>
      </c>
      <c r="G73" s="46">
        <v>3</v>
      </c>
      <c r="H73" s="46">
        <v>0</v>
      </c>
      <c r="I73" s="46">
        <v>0.3</v>
      </c>
      <c r="J73" s="46">
        <v>1.1000000000000001</v>
      </c>
      <c r="K73" s="46">
        <v>1.3</v>
      </c>
      <c r="L73" s="46"/>
      <c r="M73" s="46"/>
      <c r="N73" s="46"/>
      <c r="O73" s="46"/>
    </row>
    <row r="74" spans="1:15" x14ac:dyDescent="0.3">
      <c r="A74" s="9" t="s">
        <v>203</v>
      </c>
      <c r="B74" s="9"/>
      <c r="C74" s="9"/>
      <c r="D74" s="33">
        <v>1</v>
      </c>
      <c r="F74" s="46">
        <v>18</v>
      </c>
      <c r="G74" s="46">
        <v>4</v>
      </c>
      <c r="H74" s="46">
        <v>0</v>
      </c>
      <c r="I74" s="46">
        <v>0.4</v>
      </c>
      <c r="J74" s="46">
        <v>1.3</v>
      </c>
      <c r="K74" s="46">
        <v>1.5</v>
      </c>
      <c r="L74" s="46"/>
      <c r="M74" s="46"/>
      <c r="N74" s="46"/>
      <c r="O74" s="46"/>
    </row>
    <row r="75" spans="1:15" x14ac:dyDescent="0.3">
      <c r="A75" s="9" t="s">
        <v>204</v>
      </c>
      <c r="B75" s="9"/>
      <c r="C75" s="9"/>
      <c r="D75" s="33">
        <v>0</v>
      </c>
      <c r="F75" s="46">
        <v>24</v>
      </c>
      <c r="G75" s="46">
        <v>5</v>
      </c>
      <c r="H75" s="46">
        <v>0</v>
      </c>
      <c r="I75" s="46">
        <v>0.5</v>
      </c>
      <c r="J75" s="46">
        <v>1.5</v>
      </c>
      <c r="K75" s="46">
        <v>1.6</v>
      </c>
      <c r="L75" s="46"/>
      <c r="M75" s="46"/>
      <c r="N75" s="46"/>
      <c r="O75" s="46"/>
    </row>
    <row r="76" spans="1:15" x14ac:dyDescent="0.3">
      <c r="A76" s="47"/>
      <c r="D76" s="47"/>
      <c r="F76" s="46"/>
      <c r="G76" s="46"/>
      <c r="H76" s="46"/>
      <c r="I76" s="46"/>
      <c r="J76" s="46"/>
      <c r="K76" s="46"/>
      <c r="L76" s="46"/>
      <c r="M76" s="46"/>
      <c r="N76" s="46"/>
      <c r="O76" s="46"/>
    </row>
    <row r="77" spans="1:15" x14ac:dyDescent="0.3">
      <c r="A77" s="47"/>
      <c r="D77" s="47"/>
      <c r="F77" s="46"/>
      <c r="G77" s="46" t="s">
        <v>158</v>
      </c>
      <c r="H77" s="46"/>
      <c r="I77" s="46"/>
      <c r="J77" s="46"/>
      <c r="K77" s="46"/>
      <c r="L77" s="46"/>
      <c r="M77" s="46"/>
      <c r="N77" s="46"/>
      <c r="O77" s="46"/>
    </row>
    <row r="78" spans="1:15" x14ac:dyDescent="0.3">
      <c r="A78" s="47" t="s">
        <v>220</v>
      </c>
      <c r="C78" s="33" t="s">
        <v>27</v>
      </c>
      <c r="D78" s="33">
        <v>0</v>
      </c>
      <c r="F78" s="46"/>
      <c r="G78" s="46" t="s">
        <v>159</v>
      </c>
      <c r="H78" s="46"/>
      <c r="I78" s="46"/>
      <c r="J78" s="46"/>
      <c r="K78" s="46"/>
      <c r="L78" s="46"/>
      <c r="M78" s="46"/>
      <c r="N78" s="46"/>
      <c r="O78" s="46"/>
    </row>
    <row r="79" spans="1:15" x14ac:dyDescent="0.3">
      <c r="A79" s="47" t="s">
        <v>219</v>
      </c>
      <c r="C79" s="33" t="s">
        <v>27</v>
      </c>
      <c r="D79" s="33">
        <v>0.25</v>
      </c>
      <c r="F79" s="46"/>
      <c r="G79" s="46" t="s">
        <v>160</v>
      </c>
      <c r="H79" s="46"/>
      <c r="I79" s="46"/>
      <c r="J79" s="46"/>
      <c r="K79" s="46"/>
      <c r="L79" s="46"/>
      <c r="M79" s="46"/>
      <c r="N79" s="46"/>
      <c r="O79" s="46"/>
    </row>
    <row r="80" spans="1:15" x14ac:dyDescent="0.3">
      <c r="A80" s="47" t="s">
        <v>222</v>
      </c>
      <c r="C80" s="33" t="s">
        <v>27</v>
      </c>
      <c r="D80" s="33">
        <v>0</v>
      </c>
      <c r="F80" s="46"/>
      <c r="G80" s="46" t="s">
        <v>161</v>
      </c>
      <c r="H80" s="46"/>
      <c r="I80" s="46"/>
      <c r="J80" s="46"/>
      <c r="K80" s="46"/>
      <c r="L80" s="46"/>
      <c r="M80" s="46"/>
      <c r="N80" s="46"/>
      <c r="O80" s="46"/>
    </row>
    <row r="81" spans="1:15" x14ac:dyDescent="0.3">
      <c r="A81" s="47" t="s">
        <v>221</v>
      </c>
      <c r="C81" s="33" t="s">
        <v>27</v>
      </c>
      <c r="D81" s="33">
        <v>0</v>
      </c>
      <c r="F81" s="46"/>
      <c r="G81" s="46"/>
      <c r="H81" s="46"/>
      <c r="I81" s="46"/>
      <c r="J81" s="46"/>
      <c r="K81" s="46"/>
      <c r="L81" s="46"/>
      <c r="M81" s="46"/>
      <c r="N81" s="46"/>
      <c r="O81" s="46"/>
    </row>
    <row r="82" spans="1:15" x14ac:dyDescent="0.3">
      <c r="A82" s="47" t="s">
        <v>217</v>
      </c>
      <c r="C82" s="33" t="s">
        <v>38</v>
      </c>
      <c r="D82" s="47">
        <v>0.25</v>
      </c>
      <c r="F82" s="46"/>
      <c r="G82" s="46"/>
      <c r="H82" s="46"/>
      <c r="I82" s="46"/>
      <c r="J82" s="46"/>
      <c r="K82" s="46"/>
    </row>
    <row r="83" spans="1:15" x14ac:dyDescent="0.3">
      <c r="A83" s="47" t="s">
        <v>218</v>
      </c>
      <c r="C83" s="33" t="s">
        <v>38</v>
      </c>
      <c r="D83" s="47">
        <v>0.25</v>
      </c>
      <c r="F83" s="46"/>
      <c r="G83" s="46"/>
      <c r="H83" s="46"/>
      <c r="I83" s="46"/>
      <c r="J83" s="46"/>
      <c r="K83" s="46"/>
    </row>
    <row r="84" spans="1:15" x14ac:dyDescent="0.3">
      <c r="F84" s="46"/>
      <c r="G84" s="46"/>
      <c r="H84" s="46"/>
      <c r="I84" s="46"/>
      <c r="J84" s="46"/>
      <c r="K84" s="46"/>
    </row>
    <row r="85" spans="1:15" x14ac:dyDescent="0.3">
      <c r="F85" s="46"/>
      <c r="G85" s="46"/>
      <c r="H85" s="46"/>
      <c r="I85" s="46"/>
      <c r="J85" s="46"/>
      <c r="K85" s="46"/>
    </row>
    <row r="86" spans="1:15" x14ac:dyDescent="0.3">
      <c r="F86" s="46"/>
      <c r="G86" s="46"/>
      <c r="H86" s="46"/>
      <c r="I86" s="46"/>
      <c r="J86" s="46"/>
      <c r="K86" s="46"/>
    </row>
    <row r="87" spans="1:15" x14ac:dyDescent="0.3">
      <c r="F87" s="46"/>
      <c r="G87" s="46"/>
      <c r="H87" s="46"/>
      <c r="I87" s="46"/>
      <c r="J87" s="46"/>
      <c r="K87" s="46"/>
    </row>
    <row r="88" spans="1:15" x14ac:dyDescent="0.3">
      <c r="F88" s="46"/>
      <c r="G88" s="46"/>
      <c r="H88" s="46"/>
      <c r="I88" s="46"/>
      <c r="J88" s="46"/>
      <c r="K88" s="46"/>
    </row>
    <row r="89" spans="1:15" x14ac:dyDescent="0.3">
      <c r="F89" s="46"/>
      <c r="G89" s="46"/>
      <c r="H89" s="46"/>
      <c r="I89" s="46"/>
      <c r="J89" s="46"/>
      <c r="K89" s="46"/>
    </row>
  </sheetData>
  <sheetProtection selectLockedCells="1" selectUnlockedCells="1"/>
  <mergeCells count="3">
    <mergeCell ref="G2:K2"/>
    <mergeCell ref="H64:L64"/>
    <mergeCell ref="G64:G65"/>
  </mergeCells>
  <conditionalFormatting sqref="A1:C1">
    <cfRule type="expression" dxfId="2" priority="3">
      <formula>$G1&lt;&gt;""</formula>
    </cfRule>
  </conditionalFormatting>
  <conditionalFormatting sqref="A61:C61">
    <cfRule type="expression" dxfId="1" priority="9">
      <formula>$G61&lt;&gt;""</formula>
    </cfRule>
  </conditionalFormatting>
  <conditionalFormatting sqref="A74:C75">
    <cfRule type="expression" dxfId="0" priority="1">
      <formula>$G74&lt;&gt;""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7C246F-D299-4372-8242-7AF1D8AC51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INCENTIVE</vt:lpstr>
      <vt:lpstr>DL 1</vt:lpstr>
      <vt:lpstr>Sheet1</vt:lpstr>
      <vt:lpstr>CONVERT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Viết Hải</dc:creator>
  <cp:lastModifiedBy>Hoang Nguyen</cp:lastModifiedBy>
  <dcterms:created xsi:type="dcterms:W3CDTF">2023-03-30T11:28:34Z</dcterms:created>
  <dcterms:modified xsi:type="dcterms:W3CDTF">2024-12-12T03:03:29Z</dcterms:modified>
</cp:coreProperties>
</file>